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\Urea Simulation\docs\analysis\"/>
    </mc:Choice>
  </mc:AlternateContent>
  <xr:revisionPtr revIDLastSave="0" documentId="13_ncr:1_{4EF855EC-4CBF-43A1-9DAA-48F30E7CEC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mmary" sheetId="1" r:id="rId1"/>
    <sheet name="Normal Anchors" sheetId="2" r:id="rId2"/>
    <sheet name="Normal Gradients" sheetId="3" r:id="rId3"/>
    <sheet name="Startup Anchors" sheetId="4" r:id="rId4"/>
    <sheet name="Startup Gradients" sheetId="5" r:id="rId5"/>
    <sheet name="Lag Estimates" sheetId="6" r:id="rId6"/>
    <sheet name="Route Parameters" sheetId="7" r:id="rId7"/>
  </sheets>
  <definedNames>
    <definedName name="_xlnm._FilterDatabase" localSheetId="5" hidden="1">'Lag Estimates'!$A$4:$I$72</definedName>
    <definedName name="_xlnm._FilterDatabase" localSheetId="1" hidden="1">'Normal Anchors'!$A$4:$AH$21</definedName>
    <definedName name="_xlnm._FilterDatabase" localSheetId="6" hidden="1">'Route Parameters'!$A$4:$I$9</definedName>
    <definedName name="_xlnm._FilterDatabase" localSheetId="3" hidden="1">'Startup Anchors'!$A$4:$AJ$11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7" l="1"/>
  <c r="F9" i="7"/>
  <c r="I8" i="7"/>
  <c r="F8" i="7"/>
  <c r="I7" i="7"/>
  <c r="F7" i="7"/>
  <c r="I6" i="7"/>
  <c r="F6" i="7"/>
  <c r="I5" i="7"/>
  <c r="F5" i="7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F66" i="6" s="1"/>
  <c r="A5" i="5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B4" i="1"/>
  <c r="B3" i="1"/>
  <c r="G37" i="6" l="1"/>
  <c r="E7" i="6"/>
  <c r="E39" i="6"/>
  <c r="H48" i="6"/>
  <c r="E71" i="6"/>
  <c r="G13" i="6"/>
  <c r="G29" i="6"/>
  <c r="H40" i="6"/>
  <c r="F50" i="6"/>
  <c r="E63" i="6"/>
  <c r="H72" i="6"/>
  <c r="E23" i="6"/>
  <c r="F58" i="6"/>
  <c r="E15" i="6"/>
  <c r="E31" i="6"/>
  <c r="F42" i="6"/>
  <c r="E55" i="6"/>
  <c r="H64" i="6"/>
  <c r="F10" i="6"/>
  <c r="F18" i="6"/>
  <c r="F26" i="6"/>
  <c r="F34" i="6"/>
  <c r="H8" i="6"/>
  <c r="H16" i="6"/>
  <c r="H24" i="6"/>
  <c r="H32" i="6"/>
  <c r="G45" i="6"/>
  <c r="G53" i="6"/>
  <c r="G61" i="6"/>
  <c r="G69" i="6"/>
  <c r="G5" i="6"/>
  <c r="G21" i="6"/>
  <c r="E47" i="6"/>
  <c r="H56" i="6"/>
  <c r="F37" i="6"/>
  <c r="G36" i="6"/>
  <c r="H35" i="6"/>
  <c r="E34" i="6"/>
  <c r="F33" i="6"/>
  <c r="G32" i="6"/>
  <c r="H31" i="6"/>
  <c r="E30" i="6"/>
  <c r="F29" i="6"/>
  <c r="G28" i="6"/>
  <c r="H27" i="6"/>
  <c r="E26" i="6"/>
  <c r="F25" i="6"/>
  <c r="G24" i="6"/>
  <c r="H23" i="6"/>
  <c r="E22" i="6"/>
  <c r="F21" i="6"/>
  <c r="G20" i="6"/>
  <c r="H19" i="6"/>
  <c r="E18" i="6"/>
  <c r="F17" i="6"/>
  <c r="G16" i="6"/>
  <c r="H15" i="6"/>
  <c r="E14" i="6"/>
  <c r="F13" i="6"/>
  <c r="G12" i="6"/>
  <c r="H11" i="6"/>
  <c r="E10" i="6"/>
  <c r="F9" i="6"/>
  <c r="G8" i="6"/>
  <c r="H7" i="6"/>
  <c r="E6" i="6"/>
  <c r="F5" i="6"/>
  <c r="E37" i="6"/>
  <c r="F36" i="6"/>
  <c r="G35" i="6"/>
  <c r="H34" i="6"/>
  <c r="E33" i="6"/>
  <c r="F32" i="6"/>
  <c r="G31" i="6"/>
  <c r="H30" i="6"/>
  <c r="E29" i="6"/>
  <c r="F28" i="6"/>
  <c r="G27" i="6"/>
  <c r="H26" i="6"/>
  <c r="E25" i="6"/>
  <c r="F24" i="6"/>
  <c r="G23" i="6"/>
  <c r="H22" i="6"/>
  <c r="E21" i="6"/>
  <c r="F20" i="6"/>
  <c r="G19" i="6"/>
  <c r="H18" i="6"/>
  <c r="E17" i="6"/>
  <c r="F16" i="6"/>
  <c r="G15" i="6"/>
  <c r="H14" i="6"/>
  <c r="E13" i="6"/>
  <c r="F12" i="6"/>
  <c r="G11" i="6"/>
  <c r="H10" i="6"/>
  <c r="E9" i="6"/>
  <c r="F8" i="6"/>
  <c r="G7" i="6"/>
  <c r="H6" i="6"/>
  <c r="E5" i="6"/>
  <c r="G72" i="6"/>
  <c r="H71" i="6"/>
  <c r="E70" i="6"/>
  <c r="F69" i="6"/>
  <c r="G68" i="6"/>
  <c r="H67" i="6"/>
  <c r="E66" i="6"/>
  <c r="F65" i="6"/>
  <c r="G64" i="6"/>
  <c r="H63" i="6"/>
  <c r="E62" i="6"/>
  <c r="F61" i="6"/>
  <c r="G60" i="6"/>
  <c r="H59" i="6"/>
  <c r="E58" i="6"/>
  <c r="F57" i="6"/>
  <c r="G56" i="6"/>
  <c r="H55" i="6"/>
  <c r="E54" i="6"/>
  <c r="F53" i="6"/>
  <c r="G52" i="6"/>
  <c r="H51" i="6"/>
  <c r="E50" i="6"/>
  <c r="F49" i="6"/>
  <c r="G48" i="6"/>
  <c r="H47" i="6"/>
  <c r="E46" i="6"/>
  <c r="F45" i="6"/>
  <c r="G44" i="6"/>
  <c r="H43" i="6"/>
  <c r="E42" i="6"/>
  <c r="F41" i="6"/>
  <c r="G40" i="6"/>
  <c r="H39" i="6"/>
  <c r="E38" i="6"/>
  <c r="F72" i="6"/>
  <c r="G71" i="6"/>
  <c r="H70" i="6"/>
  <c r="E69" i="6"/>
  <c r="F68" i="6"/>
  <c r="G67" i="6"/>
  <c r="H66" i="6"/>
  <c r="E65" i="6"/>
  <c r="F64" i="6"/>
  <c r="G63" i="6"/>
  <c r="H62" i="6"/>
  <c r="E61" i="6"/>
  <c r="F60" i="6"/>
  <c r="G59" i="6"/>
  <c r="H58" i="6"/>
  <c r="E57" i="6"/>
  <c r="F56" i="6"/>
  <c r="G55" i="6"/>
  <c r="H54" i="6"/>
  <c r="E53" i="6"/>
  <c r="F52" i="6"/>
  <c r="G51" i="6"/>
  <c r="H50" i="6"/>
  <c r="E49" i="6"/>
  <c r="F48" i="6"/>
  <c r="G47" i="6"/>
  <c r="H46" i="6"/>
  <c r="E45" i="6"/>
  <c r="F44" i="6"/>
  <c r="G43" i="6"/>
  <c r="H42" i="6"/>
  <c r="E41" i="6"/>
  <c r="F40" i="6"/>
  <c r="G39" i="6"/>
  <c r="H38" i="6"/>
  <c r="H5" i="6"/>
  <c r="F7" i="6"/>
  <c r="G10" i="6"/>
  <c r="E12" i="6"/>
  <c r="H13" i="6"/>
  <c r="F15" i="6"/>
  <c r="G18" i="6"/>
  <c r="E20" i="6"/>
  <c r="H21" i="6"/>
  <c r="F23" i="6"/>
  <c r="G26" i="6"/>
  <c r="E28" i="6"/>
  <c r="H29" i="6"/>
  <c r="F31" i="6"/>
  <c r="G34" i="6"/>
  <c r="E36" i="6"/>
  <c r="H37" i="6"/>
  <c r="F39" i="6"/>
  <c r="G42" i="6"/>
  <c r="E44" i="6"/>
  <c r="H45" i="6"/>
  <c r="F47" i="6"/>
  <c r="G50" i="6"/>
  <c r="E52" i="6"/>
  <c r="H53" i="6"/>
  <c r="F55" i="6"/>
  <c r="G58" i="6"/>
  <c r="E60" i="6"/>
  <c r="H61" i="6"/>
  <c r="F63" i="6"/>
  <c r="G66" i="6"/>
  <c r="E68" i="6"/>
  <c r="H69" i="6"/>
  <c r="F71" i="6"/>
  <c r="F6" i="6"/>
  <c r="G9" i="6"/>
  <c r="E11" i="6"/>
  <c r="H12" i="6"/>
  <c r="F14" i="6"/>
  <c r="G17" i="6"/>
  <c r="E19" i="6"/>
  <c r="H20" i="6"/>
  <c r="F22" i="6"/>
  <c r="G25" i="6"/>
  <c r="E27" i="6"/>
  <c r="H28" i="6"/>
  <c r="F30" i="6"/>
  <c r="G33" i="6"/>
  <c r="E35" i="6"/>
  <c r="H36" i="6"/>
  <c r="F38" i="6"/>
  <c r="G41" i="6"/>
  <c r="E43" i="6"/>
  <c r="H44" i="6"/>
  <c r="F46" i="6"/>
  <c r="G49" i="6"/>
  <c r="E51" i="6"/>
  <c r="H52" i="6"/>
  <c r="F54" i="6"/>
  <c r="G57" i="6"/>
  <c r="E59" i="6"/>
  <c r="H60" i="6"/>
  <c r="F62" i="6"/>
  <c r="G65" i="6"/>
  <c r="E67" i="6"/>
  <c r="H68" i="6"/>
  <c r="F70" i="6"/>
  <c r="G6" i="6"/>
  <c r="E8" i="6"/>
  <c r="H9" i="6"/>
  <c r="F11" i="6"/>
  <c r="G14" i="6"/>
  <c r="E16" i="6"/>
  <c r="H17" i="6"/>
  <c r="F19" i="6"/>
  <c r="G22" i="6"/>
  <c r="E24" i="6"/>
  <c r="H25" i="6"/>
  <c r="F27" i="6"/>
  <c r="G30" i="6"/>
  <c r="E32" i="6"/>
  <c r="H33" i="6"/>
  <c r="F35" i="6"/>
  <c r="G38" i="6"/>
  <c r="E40" i="6"/>
  <c r="H41" i="6"/>
  <c r="F43" i="6"/>
  <c r="G46" i="6"/>
  <c r="E48" i="6"/>
  <c r="H49" i="6"/>
  <c r="F51" i="6"/>
  <c r="G54" i="6"/>
  <c r="E56" i="6"/>
  <c r="H57" i="6"/>
  <c r="F59" i="6"/>
  <c r="G62" i="6"/>
  <c r="E64" i="6"/>
  <c r="H65" i="6"/>
  <c r="F67" i="6"/>
  <c r="G70" i="6"/>
  <c r="E72" i="6"/>
  <c r="I55" i="6" l="1"/>
  <c r="I63" i="6"/>
  <c r="I71" i="6"/>
  <c r="I47" i="6"/>
  <c r="I15" i="6"/>
  <c r="I39" i="6"/>
  <c r="I23" i="6"/>
  <c r="I31" i="6"/>
  <c r="I7" i="6"/>
  <c r="I5" i="6"/>
  <c r="I9" i="6"/>
  <c r="I13" i="6"/>
  <c r="I17" i="6"/>
  <c r="I21" i="6"/>
  <c r="I25" i="6"/>
  <c r="I29" i="6"/>
  <c r="I33" i="6"/>
  <c r="I37" i="6"/>
  <c r="I64" i="6"/>
  <c r="I56" i="6"/>
  <c r="I48" i="6"/>
  <c r="I40" i="6"/>
  <c r="I32" i="6"/>
  <c r="I24" i="6"/>
  <c r="I16" i="6"/>
  <c r="I8" i="6"/>
  <c r="I67" i="6"/>
  <c r="I59" i="6"/>
  <c r="I51" i="6"/>
  <c r="I43" i="6"/>
  <c r="I35" i="6"/>
  <c r="I27" i="6"/>
  <c r="I19" i="6"/>
  <c r="I11" i="6"/>
  <c r="I41" i="6"/>
  <c r="I45" i="6"/>
  <c r="I49" i="6"/>
  <c r="I53" i="6"/>
  <c r="I57" i="6"/>
  <c r="I61" i="6"/>
  <c r="I65" i="6"/>
  <c r="I69" i="6"/>
  <c r="I38" i="6"/>
  <c r="I42" i="6"/>
  <c r="I46" i="6"/>
  <c r="I50" i="6"/>
  <c r="I54" i="6"/>
  <c r="I58" i="6"/>
  <c r="I62" i="6"/>
  <c r="I66" i="6"/>
  <c r="I70" i="6"/>
  <c r="I72" i="6"/>
  <c r="I68" i="6"/>
  <c r="I60" i="6"/>
  <c r="I52" i="6"/>
  <c r="I44" i="6"/>
  <c r="I36" i="6"/>
  <c r="I28" i="6"/>
  <c r="I20" i="6"/>
  <c r="I12" i="6"/>
  <c r="I6" i="6"/>
  <c r="I10" i="6"/>
  <c r="I14" i="6"/>
  <c r="I18" i="6"/>
  <c r="I22" i="6"/>
  <c r="I26" i="6"/>
  <c r="I30" i="6"/>
  <c r="I34" i="6"/>
</calcChain>
</file>

<file path=xl/sharedStrings.xml><?xml version="1.0" encoding="utf-8"?>
<sst xmlns="http://schemas.openxmlformats.org/spreadsheetml/2006/main" count="360" uniqueCount="118">
  <si>
    <t>Urea OTS stream lag — evidence and selected model</t>
  </si>
  <si>
    <t>Finding</t>
  </si>
  <si>
    <t>Value</t>
  </si>
  <si>
    <t>Status</t>
  </si>
  <si>
    <t>Basis</t>
  </si>
  <si>
    <t>Normal independent anchors</t>
  </si>
  <si>
    <t>INFO</t>
  </si>
  <si>
    <t>17 hourly points</t>
  </si>
  <si>
    <t>Startup independent anchors</t>
  </si>
  <si>
    <t>7 hourly points</t>
  </si>
  <si>
    <t>Subhour timing</t>
  </si>
  <si>
    <t>Not identifiable</t>
  </si>
  <si>
    <t>LIMIT</t>
  </si>
  <si>
    <t>30-second rows are synthetic linear interpolation</t>
  </si>
  <si>
    <t>Observed response bin</t>
  </si>
  <si>
    <t>0 h</t>
  </si>
  <si>
    <t>SUPPORTED</t>
  </si>
  <si>
    <t>Feed and several Unit 322 gradients move in the same hourly bin</t>
  </si>
  <si>
    <t>Defensible dead-time statement</t>
  </si>
  <si>
    <t>&lt;3600 s</t>
  </si>
  <si>
    <t>One-hour independent sampling interval</t>
  </si>
  <si>
    <t>Selected line anchor</t>
  </si>
  <si>
    <t>20 s at design liquid flow</t>
  </si>
  <si>
    <t>ASSUMPTION</t>
  </si>
  <si>
    <t>Existing reduced-order liquid-slug anchor</t>
  </si>
  <si>
    <t>Live route law</t>
  </si>
  <si>
    <t>theta = 3600 M_line / live mass flow</t>
  </si>
  <si>
    <t>MODEL</t>
  </si>
  <si>
    <t>Plug-flow effective inventory</t>
  </si>
  <si>
    <t>Receiver time constant</t>
  </si>
  <si>
    <t>tau approximately M / mass throughput</t>
  </si>
  <si>
    <t>Existing well-mixed vessel balances</t>
  </si>
  <si>
    <t>Property synchronization</t>
  </si>
  <si>
    <t>Whole packet</t>
  </si>
  <si>
    <t>REQUIRED</t>
  </si>
  <si>
    <t>Flow, temperature, composition, and Cp share one FIFO</t>
  </si>
  <si>
    <t>Normal — independent hourly anchors</t>
  </si>
  <si>
    <t>Only these rows are independent measurements; 30-second rows were interpolated.</t>
  </si>
  <si>
    <t>Timestamp</t>
  </si>
  <si>
    <t>UREA-LOAD</t>
  </si>
  <si>
    <t>HIC-322605</t>
  </si>
  <si>
    <t>LV-322501</t>
  </si>
  <si>
    <t>HV-322602</t>
  </si>
  <si>
    <t>HIC-322604</t>
  </si>
  <si>
    <t>PT-329206</t>
  </si>
  <si>
    <t>PIC-329204</t>
  </si>
  <si>
    <t>SIC-321951</t>
  </si>
  <si>
    <t>TT-321001</t>
  </si>
  <si>
    <t>FYM-322403</t>
  </si>
  <si>
    <t>PT-321202</t>
  </si>
  <si>
    <t>TT-321020</t>
  </si>
  <si>
    <t>TT-322012</t>
  </si>
  <si>
    <t>TT-322002</t>
  </si>
  <si>
    <t>PT-329201</t>
  </si>
  <si>
    <t>TT-322011</t>
  </si>
  <si>
    <t>TIC-329005</t>
  </si>
  <si>
    <t>TDY-329125</t>
  </si>
  <si>
    <t>PIC-322203</t>
  </si>
  <si>
    <t>PV-322203</t>
  </si>
  <si>
    <t>TT-322017</t>
  </si>
  <si>
    <t>TT-322006</t>
  </si>
  <si>
    <t>TT-322013</t>
  </si>
  <si>
    <t>TT-322010</t>
  </si>
  <si>
    <t>TT-322008</t>
  </si>
  <si>
    <t>TT-322007</t>
  </si>
  <si>
    <t>TT-322005</t>
  </si>
  <si>
    <t>TT-322009</t>
  </si>
  <si>
    <t>TT-322014</t>
  </si>
  <si>
    <t>AY-322701</t>
  </si>
  <si>
    <t>FY-322403</t>
  </si>
  <si>
    <t>TT-322004</t>
  </si>
  <si>
    <t>FY-329403</t>
  </si>
  <si>
    <t>Normal — hourly gradients</t>
  </si>
  <si>
    <t>Formula: value at hour h minus value at hour h-1.</t>
  </si>
  <si>
    <t>Startup — independent hourly anchors</t>
  </si>
  <si>
    <t>FY-321401</t>
  </si>
  <si>
    <t>TV-329005</t>
  </si>
  <si>
    <t>LT-322504-3</t>
  </si>
  <si>
    <t>LIC-322501</t>
  </si>
  <si>
    <t>HIC-329601</t>
  </si>
  <si>
    <t>PT-323201</t>
  </si>
  <si>
    <t>PT-329251</t>
  </si>
  <si>
    <t>Startup — hourly gradients</t>
  </si>
  <si>
    <t>Integer-hour gradient correlation checks</t>
  </si>
  <si>
    <t>These checks can distinguish hourly bins only. Startup has six gradients; longer-lag fits are overfit.</t>
  </si>
  <si>
    <t>Dataset</t>
  </si>
  <si>
    <t>Response tag</t>
  </si>
  <si>
    <t>Independent anchors</t>
  </si>
  <si>
    <t>Independent gradients</t>
  </si>
  <si>
    <t>Lag 0 h r</t>
  </si>
  <si>
    <t>Lag 1 h r</t>
  </si>
  <si>
    <t>Lag 2 h r</t>
  </si>
  <si>
    <t>Lag 3 h r</t>
  </si>
  <si>
    <t>Interpretation</t>
  </si>
  <si>
    <t>Normal</t>
  </si>
  <si>
    <t>Startup</t>
  </si>
  <si>
    <t>Normal-process packet transport routes</t>
  </si>
  <si>
    <t>Effective inventory is formula-derived from design flow and the reduced-order 20 s anchor.</t>
  </si>
  <si>
    <t>Route</t>
  </si>
  <si>
    <t>Source</t>
  </si>
  <si>
    <t>Destination</t>
  </si>
  <si>
    <t>Design flow kg/h</t>
  </si>
  <si>
    <t>Design dead time s</t>
  </si>
  <si>
    <t>Effective inventory kg</t>
  </si>
  <si>
    <t>Maximum dead time s</t>
  </si>
  <si>
    <t>Trend bound s</t>
  </si>
  <si>
    <t>Bound check</t>
  </si>
  <si>
    <t>322E001_TO_323C003</t>
  </si>
  <si>
    <t>322E001</t>
  </si>
  <si>
    <t>323C003</t>
  </si>
  <si>
    <t>323C003_TO_323F004</t>
  </si>
  <si>
    <t>323F004</t>
  </si>
  <si>
    <t>323F004_TO_323F010</t>
  </si>
  <si>
    <t>323F010</t>
  </si>
  <si>
    <t>323F010_TO_323D002</t>
  </si>
  <si>
    <t>323D002</t>
  </si>
  <si>
    <t>323D002_TO_324E001</t>
  </si>
  <si>
    <t>324E001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</si>
</sst>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51" customWidth="1"/>
    <col min="2" max="2" width="39" customWidth="1"/>
    <col min="3" max="3" width="16" customWidth="1"/>
    <col min="4" max="4" width="58" customWidth="1"/>
  </cols>
  <sheetData>
    <row r="1" spans="1:4" ht="23.1" customHeight="1" x14ac:dyDescent="0.25">
      <c r="A1" s="9" t="s">
        <v>0</v>
      </c>
      <c r="B1" s="10"/>
      <c r="C1" s="10"/>
      <c r="D1" s="10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>
        <f>COUNTA('Normal Anchors'!A5:A21)</f>
        <v>17</v>
      </c>
      <c r="C3" s="3" t="s">
        <v>6</v>
      </c>
      <c r="D3" s="2" t="s">
        <v>7</v>
      </c>
    </row>
    <row r="4" spans="1:4" x14ac:dyDescent="0.25">
      <c r="A4" s="2" t="s">
        <v>8</v>
      </c>
      <c r="B4" s="2">
        <f>COUNTA('Startup Anchors'!A5:A11)</f>
        <v>7</v>
      </c>
      <c r="C4" s="3" t="s">
        <v>6</v>
      </c>
      <c r="D4" s="2" t="s">
        <v>9</v>
      </c>
    </row>
    <row r="5" spans="1:4" x14ac:dyDescent="0.25">
      <c r="A5" s="2" t="s">
        <v>10</v>
      </c>
      <c r="B5" s="2" t="s">
        <v>11</v>
      </c>
      <c r="C5" s="4" t="s">
        <v>12</v>
      </c>
      <c r="D5" s="2" t="s">
        <v>13</v>
      </c>
    </row>
    <row r="6" spans="1:4" x14ac:dyDescent="0.25">
      <c r="A6" s="2" t="s">
        <v>14</v>
      </c>
      <c r="B6" s="2" t="s">
        <v>15</v>
      </c>
      <c r="C6" s="5" t="s">
        <v>16</v>
      </c>
      <c r="D6" s="2" t="s">
        <v>17</v>
      </c>
    </row>
    <row r="7" spans="1:4" x14ac:dyDescent="0.25">
      <c r="A7" s="2" t="s">
        <v>18</v>
      </c>
      <c r="B7" s="2" t="s">
        <v>19</v>
      </c>
      <c r="C7" s="5" t="s">
        <v>16</v>
      </c>
      <c r="D7" s="2" t="s">
        <v>20</v>
      </c>
    </row>
    <row r="8" spans="1:4" x14ac:dyDescent="0.25">
      <c r="A8" s="2" t="s">
        <v>21</v>
      </c>
      <c r="B8" s="2" t="s">
        <v>22</v>
      </c>
      <c r="C8" s="3" t="s">
        <v>23</v>
      </c>
      <c r="D8" s="2" t="s">
        <v>24</v>
      </c>
    </row>
    <row r="9" spans="1:4" x14ac:dyDescent="0.25">
      <c r="A9" s="2" t="s">
        <v>25</v>
      </c>
      <c r="B9" s="2" t="s">
        <v>26</v>
      </c>
      <c r="C9" s="3" t="s">
        <v>27</v>
      </c>
      <c r="D9" s="2" t="s">
        <v>28</v>
      </c>
    </row>
    <row r="10" spans="1:4" x14ac:dyDescent="0.25">
      <c r="A10" s="2" t="s">
        <v>29</v>
      </c>
      <c r="B10" s="2" t="s">
        <v>30</v>
      </c>
      <c r="C10" s="3" t="s">
        <v>27</v>
      </c>
      <c r="D10" s="2" t="s">
        <v>31</v>
      </c>
    </row>
    <row r="11" spans="1:4" x14ac:dyDescent="0.25">
      <c r="A11" s="2" t="s">
        <v>32</v>
      </c>
      <c r="B11" s="2" t="s">
        <v>33</v>
      </c>
      <c r="C11" s="5" t="s">
        <v>34</v>
      </c>
      <c r="D11" s="2" t="s">
        <v>35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3" width="12" customWidth="1"/>
    <col min="4" max="5" width="11" customWidth="1"/>
    <col min="6" max="6" width="12" customWidth="1"/>
    <col min="7" max="7" width="11" customWidth="1"/>
    <col min="8" max="9" width="12" customWidth="1"/>
    <col min="10" max="10" width="11" customWidth="1"/>
    <col min="11" max="11" width="12" customWidth="1"/>
    <col min="12" max="17" width="11" customWidth="1"/>
    <col min="18" max="20" width="12" customWidth="1"/>
    <col min="21" max="34" width="11" customWidth="1"/>
  </cols>
  <sheetData>
    <row r="1" spans="1:34" ht="23.1" customHeight="1" x14ac:dyDescent="0.25">
      <c r="A1" s="9" t="s">
        <v>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x14ac:dyDescent="0.25">
      <c r="A2" s="11" t="s">
        <v>37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4" spans="1:34" ht="25.5" x14ac:dyDescent="0.25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 s="1" t="s">
        <v>55</v>
      </c>
      <c r="S4" s="1" t="s">
        <v>56</v>
      </c>
      <c r="T4" s="1" t="s">
        <v>57</v>
      </c>
      <c r="U4" s="1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63</v>
      </c>
      <c r="AA4" s="1" t="s">
        <v>64</v>
      </c>
      <c r="AB4" s="1" t="s">
        <v>65</v>
      </c>
      <c r="AC4" s="1" t="s">
        <v>66</v>
      </c>
      <c r="AD4" s="1" t="s">
        <v>67</v>
      </c>
      <c r="AE4" s="1" t="s">
        <v>68</v>
      </c>
      <c r="AF4" s="1" t="s">
        <v>69</v>
      </c>
      <c r="AG4" s="1" t="s">
        <v>70</v>
      </c>
      <c r="AH4" s="1" t="s">
        <v>71</v>
      </c>
    </row>
    <row r="5" spans="1:34" x14ac:dyDescent="0.25">
      <c r="A5" s="6">
        <v>45837.374305555553</v>
      </c>
      <c r="B5" s="2">
        <v>99.7</v>
      </c>
      <c r="C5" s="2">
        <v>55</v>
      </c>
      <c r="D5" s="2">
        <v>43.9</v>
      </c>
      <c r="E5" s="2">
        <v>65</v>
      </c>
      <c r="F5" s="2">
        <v>78.5</v>
      </c>
      <c r="G5" s="2">
        <v>3.99</v>
      </c>
      <c r="H5" s="2">
        <v>19.7</v>
      </c>
      <c r="I5" s="2">
        <v>121.4</v>
      </c>
      <c r="J5" s="2">
        <v>28</v>
      </c>
      <c r="K5" s="2">
        <v>52.8</v>
      </c>
      <c r="L5" s="2">
        <v>20</v>
      </c>
      <c r="M5" s="2">
        <v>29.1</v>
      </c>
      <c r="N5" s="2">
        <v>113.5</v>
      </c>
      <c r="O5" s="2">
        <v>164.1</v>
      </c>
      <c r="P5" s="2">
        <v>138.30000000000001</v>
      </c>
      <c r="Q5" s="2">
        <v>130.5</v>
      </c>
      <c r="R5" s="2">
        <v>85.2</v>
      </c>
      <c r="S5" s="2">
        <v>18.899999999999999</v>
      </c>
      <c r="T5" s="2">
        <v>144.4</v>
      </c>
      <c r="U5" s="2">
        <v>0</v>
      </c>
      <c r="V5" s="2">
        <v>113.8</v>
      </c>
      <c r="W5" s="2">
        <v>179.8</v>
      </c>
      <c r="X5" s="2">
        <v>187.1</v>
      </c>
      <c r="Y5" s="2">
        <v>169.3</v>
      </c>
      <c r="Z5" s="2">
        <v>171</v>
      </c>
      <c r="AA5" s="2">
        <v>174.3</v>
      </c>
      <c r="AB5" s="2">
        <v>183.1</v>
      </c>
      <c r="AC5" s="2">
        <v>184.6</v>
      </c>
      <c r="AD5" s="2">
        <v>183.4</v>
      </c>
      <c r="AE5" s="2">
        <v>3.23</v>
      </c>
      <c r="AF5" s="2">
        <v>28166</v>
      </c>
      <c r="AG5" s="2">
        <v>168.7</v>
      </c>
      <c r="AH5" s="2">
        <v>65.099999999999994</v>
      </c>
    </row>
    <row r="6" spans="1:34" x14ac:dyDescent="0.25">
      <c r="A6" s="6">
        <v>45837.415972222218</v>
      </c>
      <c r="B6" s="2">
        <v>99.1</v>
      </c>
      <c r="C6" s="2">
        <v>54.5</v>
      </c>
      <c r="D6" s="2">
        <v>43.6</v>
      </c>
      <c r="E6" s="2">
        <v>65</v>
      </c>
      <c r="F6" s="2">
        <v>78.5</v>
      </c>
      <c r="G6" s="2">
        <v>3.99</v>
      </c>
      <c r="H6" s="2">
        <v>19.600000000000001</v>
      </c>
      <c r="I6" s="2">
        <v>119.8</v>
      </c>
      <c r="J6" s="2">
        <v>23.9</v>
      </c>
      <c r="K6" s="2">
        <v>52.5</v>
      </c>
      <c r="L6" s="2">
        <v>20.2</v>
      </c>
      <c r="M6" s="2">
        <v>24.9</v>
      </c>
      <c r="N6" s="2">
        <v>111.9</v>
      </c>
      <c r="O6" s="2">
        <v>164.2</v>
      </c>
      <c r="P6" s="2">
        <v>137.9</v>
      </c>
      <c r="Q6" s="2">
        <v>130.5</v>
      </c>
      <c r="R6" s="2">
        <v>85.2</v>
      </c>
      <c r="S6" s="2">
        <v>20</v>
      </c>
      <c r="T6" s="2">
        <v>144.1</v>
      </c>
      <c r="U6" s="2">
        <v>0</v>
      </c>
      <c r="V6" s="2">
        <v>114</v>
      </c>
      <c r="W6" s="2">
        <v>180</v>
      </c>
      <c r="X6" s="2">
        <v>187.1</v>
      </c>
      <c r="Y6" s="2">
        <v>169.4</v>
      </c>
      <c r="Z6" s="2">
        <v>171.3</v>
      </c>
      <c r="AA6" s="2">
        <v>174.5</v>
      </c>
      <c r="AB6" s="2">
        <v>183.2</v>
      </c>
      <c r="AC6" s="2">
        <v>184.6</v>
      </c>
      <c r="AD6" s="2">
        <v>183.4</v>
      </c>
      <c r="AE6" s="2">
        <v>3.21</v>
      </c>
      <c r="AF6" s="2">
        <v>28114</v>
      </c>
      <c r="AG6" s="2">
        <v>168.2</v>
      </c>
      <c r="AH6" s="2">
        <v>65.3</v>
      </c>
    </row>
    <row r="7" spans="1:34" x14ac:dyDescent="0.25">
      <c r="A7" s="6">
        <v>45837.457638888889</v>
      </c>
      <c r="B7" s="2">
        <v>99.4</v>
      </c>
      <c r="C7" s="2">
        <v>54.5</v>
      </c>
      <c r="D7" s="2">
        <v>44.7</v>
      </c>
      <c r="E7" s="2">
        <v>65</v>
      </c>
      <c r="F7" s="2">
        <v>78.5</v>
      </c>
      <c r="G7" s="2">
        <v>4.0199999999999996</v>
      </c>
      <c r="H7" s="2">
        <v>19.7</v>
      </c>
      <c r="I7" s="2">
        <v>122.6</v>
      </c>
      <c r="J7" s="2">
        <v>24.4</v>
      </c>
      <c r="K7" s="2">
        <v>52.7</v>
      </c>
      <c r="L7" s="2">
        <v>20.3</v>
      </c>
      <c r="M7" s="2">
        <v>25.7</v>
      </c>
      <c r="N7" s="2">
        <v>115.3</v>
      </c>
      <c r="O7" s="2">
        <v>167.1</v>
      </c>
      <c r="P7" s="2">
        <v>139.19999999999999</v>
      </c>
      <c r="Q7" s="2">
        <v>131.5</v>
      </c>
      <c r="R7" s="2">
        <v>84.2</v>
      </c>
      <c r="S7" s="2">
        <v>21.5</v>
      </c>
      <c r="T7" s="2">
        <v>144.4</v>
      </c>
      <c r="U7" s="2">
        <v>0</v>
      </c>
      <c r="V7" s="2">
        <v>114.2</v>
      </c>
      <c r="W7" s="2">
        <v>180.3</v>
      </c>
      <c r="X7" s="2">
        <v>187.1</v>
      </c>
      <c r="Y7" s="2">
        <v>169.8</v>
      </c>
      <c r="Z7" s="2">
        <v>171.8</v>
      </c>
      <c r="AA7" s="2">
        <v>175</v>
      </c>
      <c r="AB7" s="2">
        <v>183.6</v>
      </c>
      <c r="AC7" s="2">
        <v>185.1</v>
      </c>
      <c r="AD7" s="2">
        <v>183.4</v>
      </c>
      <c r="AE7" s="2">
        <v>3.19</v>
      </c>
      <c r="AF7" s="2">
        <v>28193</v>
      </c>
      <c r="AG7" s="2">
        <v>168.9</v>
      </c>
      <c r="AH7" s="2">
        <v>65.599999999999994</v>
      </c>
    </row>
    <row r="8" spans="1:34" x14ac:dyDescent="0.25">
      <c r="A8" s="6">
        <v>45837.499305555553</v>
      </c>
      <c r="B8" s="2">
        <v>99.5</v>
      </c>
      <c r="C8" s="2">
        <v>54.5</v>
      </c>
      <c r="D8" s="2">
        <v>44.3</v>
      </c>
      <c r="E8" s="2">
        <v>66</v>
      </c>
      <c r="F8" s="2">
        <v>78</v>
      </c>
      <c r="G8" s="2">
        <v>4.04</v>
      </c>
      <c r="H8" s="2">
        <v>19.7</v>
      </c>
      <c r="I8" s="2">
        <v>124.6</v>
      </c>
      <c r="J8" s="2">
        <v>25</v>
      </c>
      <c r="K8" s="2">
        <v>52.7</v>
      </c>
      <c r="L8" s="2">
        <v>20.2</v>
      </c>
      <c r="M8" s="2">
        <v>26.3</v>
      </c>
      <c r="N8" s="2">
        <v>114.8</v>
      </c>
      <c r="O8" s="2">
        <v>166.1</v>
      </c>
      <c r="P8" s="2">
        <v>139.5</v>
      </c>
      <c r="Q8" s="2">
        <v>129.5</v>
      </c>
      <c r="R8" s="2">
        <v>85.2</v>
      </c>
      <c r="S8" s="2">
        <v>19.600000000000001</v>
      </c>
      <c r="T8" s="2">
        <v>145.19999999999999</v>
      </c>
      <c r="U8" s="2">
        <v>0</v>
      </c>
      <c r="V8" s="2">
        <v>114.7</v>
      </c>
      <c r="W8" s="2">
        <v>180.2</v>
      </c>
      <c r="X8" s="2">
        <v>187.1</v>
      </c>
      <c r="Y8" s="2">
        <v>169.9</v>
      </c>
      <c r="Z8" s="2">
        <v>171.7</v>
      </c>
      <c r="AA8" s="2">
        <v>174.8</v>
      </c>
      <c r="AB8" s="2">
        <v>183.5</v>
      </c>
      <c r="AC8" s="2">
        <v>185.1</v>
      </c>
      <c r="AD8" s="2">
        <v>183.9</v>
      </c>
      <c r="AE8" s="2">
        <v>3.21</v>
      </c>
      <c r="AF8" s="2">
        <v>28267</v>
      </c>
      <c r="AG8" s="2">
        <v>168.7</v>
      </c>
      <c r="AH8" s="2">
        <v>64.099999999999994</v>
      </c>
    </row>
    <row r="9" spans="1:34" x14ac:dyDescent="0.25">
      <c r="A9" s="6">
        <v>45837.540972222218</v>
      </c>
      <c r="B9" s="2">
        <v>100.8</v>
      </c>
      <c r="C9" s="2">
        <v>54.7</v>
      </c>
      <c r="D9" s="2">
        <v>44.6</v>
      </c>
      <c r="E9" s="2">
        <v>66</v>
      </c>
      <c r="F9" s="2">
        <v>78</v>
      </c>
      <c r="G9" s="2">
        <v>4.04</v>
      </c>
      <c r="H9" s="2">
        <v>19.7</v>
      </c>
      <c r="I9" s="2">
        <v>122.7</v>
      </c>
      <c r="J9" s="2">
        <v>25</v>
      </c>
      <c r="K9" s="2">
        <v>53.4</v>
      </c>
      <c r="L9" s="2">
        <v>20.3</v>
      </c>
      <c r="M9" s="2">
        <v>26.3</v>
      </c>
      <c r="N9" s="2">
        <v>113.8</v>
      </c>
      <c r="O9" s="2">
        <v>165.4</v>
      </c>
      <c r="P9" s="2">
        <v>141.1</v>
      </c>
      <c r="Q9" s="2">
        <v>129</v>
      </c>
      <c r="R9" s="2">
        <v>85.2</v>
      </c>
      <c r="S9" s="2">
        <v>19.600000000000001</v>
      </c>
      <c r="T9" s="2">
        <v>145.6</v>
      </c>
      <c r="U9" s="2">
        <v>0</v>
      </c>
      <c r="V9" s="2">
        <v>115.4</v>
      </c>
      <c r="W9" s="2">
        <v>180.4</v>
      </c>
      <c r="X9" s="2">
        <v>187.6</v>
      </c>
      <c r="Y9" s="2">
        <v>170.1</v>
      </c>
      <c r="Z9" s="2">
        <v>171.8</v>
      </c>
      <c r="AA9" s="2">
        <v>174.9</v>
      </c>
      <c r="AB9" s="2">
        <v>183.7</v>
      </c>
      <c r="AC9" s="2">
        <v>185.3</v>
      </c>
      <c r="AD9" s="2">
        <v>183.9</v>
      </c>
      <c r="AE9" s="2">
        <v>3.22</v>
      </c>
      <c r="AF9" s="2">
        <v>28572</v>
      </c>
      <c r="AG9" s="2">
        <v>169.2</v>
      </c>
      <c r="AH9" s="2">
        <v>63.9</v>
      </c>
    </row>
    <row r="10" spans="1:34" x14ac:dyDescent="0.25">
      <c r="A10" s="6">
        <v>45837.582638888889</v>
      </c>
      <c r="B10" s="2">
        <v>100.2</v>
      </c>
      <c r="C10" s="2">
        <v>55</v>
      </c>
      <c r="D10" s="2">
        <v>45.2</v>
      </c>
      <c r="E10" s="2">
        <v>66</v>
      </c>
      <c r="F10" s="2">
        <v>78</v>
      </c>
      <c r="G10" s="2">
        <v>4.04</v>
      </c>
      <c r="H10" s="2">
        <v>19.8</v>
      </c>
      <c r="I10" s="2">
        <v>123.4</v>
      </c>
      <c r="J10" s="2">
        <v>25.3</v>
      </c>
      <c r="K10" s="2">
        <v>53.1</v>
      </c>
      <c r="L10" s="2">
        <v>20.3</v>
      </c>
      <c r="M10" s="2">
        <v>26.5</v>
      </c>
      <c r="N10" s="2">
        <v>114.4</v>
      </c>
      <c r="O10" s="2">
        <v>166.1</v>
      </c>
      <c r="P10" s="2">
        <v>139.19999999999999</v>
      </c>
      <c r="Q10" s="2">
        <v>129.6</v>
      </c>
      <c r="R10" s="2">
        <v>84.3</v>
      </c>
      <c r="S10" s="2">
        <v>21.1</v>
      </c>
      <c r="T10" s="2">
        <v>145.19999999999999</v>
      </c>
      <c r="U10" s="2">
        <v>0</v>
      </c>
      <c r="V10" s="2">
        <v>115.7</v>
      </c>
      <c r="W10" s="2">
        <v>179.8</v>
      </c>
      <c r="X10" s="2">
        <v>187.6</v>
      </c>
      <c r="Y10" s="2">
        <v>170.1</v>
      </c>
      <c r="Z10" s="2">
        <v>171.9</v>
      </c>
      <c r="AA10" s="2">
        <v>174.8</v>
      </c>
      <c r="AB10" s="2">
        <v>183.5</v>
      </c>
      <c r="AC10" s="2">
        <v>185.4</v>
      </c>
      <c r="AD10" s="2">
        <v>183.9</v>
      </c>
      <c r="AE10" s="2">
        <v>3.22</v>
      </c>
      <c r="AF10" s="2">
        <v>28360</v>
      </c>
      <c r="AG10" s="2">
        <v>169.3</v>
      </c>
      <c r="AH10" s="2">
        <v>63.6</v>
      </c>
    </row>
    <row r="11" spans="1:34" x14ac:dyDescent="0.25">
      <c r="A11" s="6">
        <v>45837.624305555553</v>
      </c>
      <c r="B11" s="2">
        <v>100.5</v>
      </c>
      <c r="C11" s="2">
        <v>55.2</v>
      </c>
      <c r="D11" s="2">
        <v>45.5</v>
      </c>
      <c r="E11" s="2">
        <v>66</v>
      </c>
      <c r="F11" s="2">
        <v>78</v>
      </c>
      <c r="G11" s="2">
        <v>4.04</v>
      </c>
      <c r="H11" s="2">
        <v>19.7</v>
      </c>
      <c r="I11" s="2">
        <v>124.2</v>
      </c>
      <c r="J11" s="2">
        <v>25</v>
      </c>
      <c r="K11" s="2">
        <v>53.3</v>
      </c>
      <c r="L11" s="2">
        <v>20.2</v>
      </c>
      <c r="M11" s="2">
        <v>26.3</v>
      </c>
      <c r="N11" s="2">
        <v>113.9</v>
      </c>
      <c r="O11" s="2">
        <v>166.1</v>
      </c>
      <c r="P11" s="2">
        <v>139</v>
      </c>
      <c r="Q11" s="2">
        <v>130.1</v>
      </c>
      <c r="R11" s="2">
        <v>84.3</v>
      </c>
      <c r="S11" s="2">
        <v>20.8</v>
      </c>
      <c r="T11" s="2">
        <v>144.80000000000001</v>
      </c>
      <c r="U11" s="2">
        <v>0</v>
      </c>
      <c r="V11" s="2">
        <v>115.4</v>
      </c>
      <c r="W11" s="2">
        <v>179.9</v>
      </c>
      <c r="X11" s="2">
        <v>187.6</v>
      </c>
      <c r="Y11" s="2">
        <v>170</v>
      </c>
      <c r="Z11" s="2">
        <v>171.5</v>
      </c>
      <c r="AA11" s="2">
        <v>174.5</v>
      </c>
      <c r="AB11" s="2">
        <v>183.2</v>
      </c>
      <c r="AC11" s="2">
        <v>185.4</v>
      </c>
      <c r="AD11" s="2">
        <v>183.9</v>
      </c>
      <c r="AE11" s="2">
        <v>3.22</v>
      </c>
      <c r="AF11" s="2">
        <v>28443</v>
      </c>
      <c r="AG11" s="2">
        <v>169.2</v>
      </c>
      <c r="AH11" s="2">
        <v>63.2</v>
      </c>
    </row>
    <row r="12" spans="1:34" x14ac:dyDescent="0.25">
      <c r="A12" s="6">
        <v>45837.665972222218</v>
      </c>
      <c r="B12" s="2">
        <v>100.1</v>
      </c>
      <c r="C12" s="2">
        <v>55.4</v>
      </c>
      <c r="D12" s="2">
        <v>45.5</v>
      </c>
      <c r="E12" s="2">
        <v>66</v>
      </c>
      <c r="F12" s="2">
        <v>78</v>
      </c>
      <c r="G12" s="2">
        <v>4.04</v>
      </c>
      <c r="H12" s="2">
        <v>19.5</v>
      </c>
      <c r="I12" s="2">
        <v>124</v>
      </c>
      <c r="J12" s="2">
        <v>25</v>
      </c>
      <c r="K12" s="2">
        <v>53.1</v>
      </c>
      <c r="L12" s="2">
        <v>20.2</v>
      </c>
      <c r="M12" s="2">
        <v>26.3</v>
      </c>
      <c r="N12" s="2">
        <v>112.8</v>
      </c>
      <c r="O12" s="2">
        <v>165.6</v>
      </c>
      <c r="P12" s="2">
        <v>139.6</v>
      </c>
      <c r="Q12" s="2">
        <v>129.6</v>
      </c>
      <c r="R12" s="2">
        <v>85.3</v>
      </c>
      <c r="S12" s="2">
        <v>19.8</v>
      </c>
      <c r="T12" s="2">
        <v>144.69999999999999</v>
      </c>
      <c r="U12" s="2">
        <v>0</v>
      </c>
      <c r="V12" s="2">
        <v>114.9</v>
      </c>
      <c r="W12" s="2">
        <v>179.4</v>
      </c>
      <c r="X12" s="2">
        <v>187.6</v>
      </c>
      <c r="Y12" s="2">
        <v>169.8</v>
      </c>
      <c r="Z12" s="2">
        <v>170.9</v>
      </c>
      <c r="AA12" s="2">
        <v>174</v>
      </c>
      <c r="AB12" s="2">
        <v>183</v>
      </c>
      <c r="AC12" s="2">
        <v>185.3</v>
      </c>
      <c r="AD12" s="2">
        <v>183.9</v>
      </c>
      <c r="AE12" s="2">
        <v>3.24</v>
      </c>
      <c r="AF12" s="2">
        <v>28351</v>
      </c>
      <c r="AG12" s="2">
        <v>168.9</v>
      </c>
      <c r="AH12" s="2">
        <v>62.9</v>
      </c>
    </row>
    <row r="13" spans="1:34" x14ac:dyDescent="0.25">
      <c r="A13" s="6">
        <v>45837.707638888889</v>
      </c>
      <c r="B13" s="2">
        <v>100.6</v>
      </c>
      <c r="C13" s="2">
        <v>55</v>
      </c>
      <c r="D13" s="2">
        <v>44.7</v>
      </c>
      <c r="E13" s="2">
        <v>66</v>
      </c>
      <c r="F13" s="2">
        <v>78</v>
      </c>
      <c r="G13" s="2">
        <v>4.04</v>
      </c>
      <c r="H13" s="2">
        <v>19.399999999999999</v>
      </c>
      <c r="I13" s="2">
        <v>121.8</v>
      </c>
      <c r="J13" s="2">
        <v>25</v>
      </c>
      <c r="K13" s="2">
        <v>53.3</v>
      </c>
      <c r="L13" s="2">
        <v>20.399999999999999</v>
      </c>
      <c r="M13" s="2">
        <v>26.3</v>
      </c>
      <c r="N13" s="2">
        <v>112.4</v>
      </c>
      <c r="O13" s="2">
        <v>165</v>
      </c>
      <c r="P13" s="2">
        <v>139.9</v>
      </c>
      <c r="Q13" s="2">
        <v>131</v>
      </c>
      <c r="R13" s="2">
        <v>84.3</v>
      </c>
      <c r="S13" s="2">
        <v>19.3</v>
      </c>
      <c r="T13" s="2">
        <v>145.19999999999999</v>
      </c>
      <c r="U13" s="2">
        <v>0</v>
      </c>
      <c r="V13" s="2">
        <v>114.9</v>
      </c>
      <c r="W13" s="2">
        <v>179.4</v>
      </c>
      <c r="X13" s="2">
        <v>187.6</v>
      </c>
      <c r="Y13" s="2">
        <v>169.9</v>
      </c>
      <c r="Z13" s="2">
        <v>171</v>
      </c>
      <c r="AA13" s="2">
        <v>174</v>
      </c>
      <c r="AB13" s="2">
        <v>182.8</v>
      </c>
      <c r="AC13" s="2">
        <v>185.2</v>
      </c>
      <c r="AD13" s="2">
        <v>183.4</v>
      </c>
      <c r="AE13" s="2">
        <v>3.34</v>
      </c>
      <c r="AF13" s="2">
        <v>28480</v>
      </c>
      <c r="AG13" s="2">
        <v>167.6</v>
      </c>
      <c r="AH13" s="2">
        <v>61.3</v>
      </c>
    </row>
    <row r="14" spans="1:34" x14ac:dyDescent="0.25">
      <c r="A14" s="6">
        <v>45837.749305555553</v>
      </c>
      <c r="B14" s="2">
        <v>100.8</v>
      </c>
      <c r="C14" s="2">
        <v>55.5</v>
      </c>
      <c r="D14" s="2">
        <v>45.4</v>
      </c>
      <c r="E14" s="2">
        <v>66</v>
      </c>
      <c r="F14" s="2">
        <v>78</v>
      </c>
      <c r="G14" s="2">
        <v>4.05</v>
      </c>
      <c r="H14" s="2">
        <v>19.5</v>
      </c>
      <c r="I14" s="2">
        <v>121.9</v>
      </c>
      <c r="J14" s="2">
        <v>24.5</v>
      </c>
      <c r="K14" s="2">
        <v>53.4</v>
      </c>
      <c r="L14" s="2">
        <v>20.3</v>
      </c>
      <c r="M14" s="2">
        <v>26</v>
      </c>
      <c r="N14" s="2">
        <v>113</v>
      </c>
      <c r="O14" s="2">
        <v>166.1</v>
      </c>
      <c r="P14" s="2">
        <v>139.5</v>
      </c>
      <c r="Q14" s="2">
        <v>130.5</v>
      </c>
      <c r="R14" s="2">
        <v>83.3</v>
      </c>
      <c r="S14" s="2">
        <v>21.3</v>
      </c>
      <c r="T14" s="2">
        <v>144.80000000000001</v>
      </c>
      <c r="U14" s="2">
        <v>0</v>
      </c>
      <c r="V14" s="2">
        <v>114.5</v>
      </c>
      <c r="W14" s="2">
        <v>179.7</v>
      </c>
      <c r="X14" s="2">
        <v>187.6</v>
      </c>
      <c r="Y14" s="2">
        <v>169.9</v>
      </c>
      <c r="Z14" s="2">
        <v>171.3</v>
      </c>
      <c r="AA14" s="2">
        <v>174.3</v>
      </c>
      <c r="AB14" s="2">
        <v>183</v>
      </c>
      <c r="AC14" s="2">
        <v>185.3</v>
      </c>
      <c r="AD14" s="2">
        <v>183.4</v>
      </c>
      <c r="AE14" s="2">
        <v>3.23</v>
      </c>
      <c r="AF14" s="2">
        <v>28542</v>
      </c>
      <c r="AG14" s="2">
        <v>168.9</v>
      </c>
      <c r="AH14" s="2">
        <v>63.1</v>
      </c>
    </row>
    <row r="15" spans="1:34" x14ac:dyDescent="0.25">
      <c r="A15" s="6">
        <v>45837.790972222218</v>
      </c>
      <c r="B15" s="2">
        <v>100.5</v>
      </c>
      <c r="C15" s="2">
        <v>55.2</v>
      </c>
      <c r="D15" s="2">
        <v>44.7</v>
      </c>
      <c r="E15" s="2">
        <v>66</v>
      </c>
      <c r="F15" s="2">
        <v>78</v>
      </c>
      <c r="G15" s="2">
        <v>4.04</v>
      </c>
      <c r="H15" s="2">
        <v>19.5</v>
      </c>
      <c r="I15" s="2">
        <v>122.3</v>
      </c>
      <c r="J15" s="2">
        <v>24.8</v>
      </c>
      <c r="K15" s="2">
        <v>53.3</v>
      </c>
      <c r="L15" s="2">
        <v>20.3</v>
      </c>
      <c r="M15" s="2">
        <v>26.3</v>
      </c>
      <c r="N15" s="2">
        <v>113</v>
      </c>
      <c r="O15" s="2">
        <v>165.6</v>
      </c>
      <c r="P15" s="2">
        <v>139.6</v>
      </c>
      <c r="Q15" s="2">
        <v>130</v>
      </c>
      <c r="R15" s="2">
        <v>84.3</v>
      </c>
      <c r="S15" s="2">
        <v>19.8</v>
      </c>
      <c r="T15" s="2">
        <v>144.80000000000001</v>
      </c>
      <c r="U15" s="2">
        <v>0</v>
      </c>
      <c r="V15" s="2">
        <v>114.2</v>
      </c>
      <c r="W15" s="2">
        <v>179.5</v>
      </c>
      <c r="X15" s="2">
        <v>187.6</v>
      </c>
      <c r="Y15" s="2">
        <v>170</v>
      </c>
      <c r="Z15" s="2">
        <v>171</v>
      </c>
      <c r="AA15" s="2">
        <v>174.2</v>
      </c>
      <c r="AB15" s="2">
        <v>182.7</v>
      </c>
      <c r="AC15" s="2">
        <v>185.2</v>
      </c>
      <c r="AD15" s="2">
        <v>183.4</v>
      </c>
      <c r="AE15" s="2">
        <v>3.23</v>
      </c>
      <c r="AF15" s="2">
        <v>28629</v>
      </c>
      <c r="AG15" s="2">
        <v>168.4</v>
      </c>
      <c r="AH15" s="2">
        <v>62.8</v>
      </c>
    </row>
    <row r="16" spans="1:34" x14ac:dyDescent="0.25">
      <c r="A16" s="6">
        <v>45837.832638888889</v>
      </c>
      <c r="B16" s="2">
        <v>100.9</v>
      </c>
      <c r="C16" s="2">
        <v>55.5</v>
      </c>
      <c r="D16" s="2">
        <v>44.7</v>
      </c>
      <c r="E16" s="2">
        <v>66</v>
      </c>
      <c r="F16" s="2">
        <v>78</v>
      </c>
      <c r="G16" s="2">
        <v>4.04</v>
      </c>
      <c r="H16" s="2">
        <v>19.5</v>
      </c>
      <c r="I16" s="2">
        <v>122.3</v>
      </c>
      <c r="J16" s="2">
        <v>25.1</v>
      </c>
      <c r="K16" s="2">
        <v>53.5</v>
      </c>
      <c r="L16" s="2">
        <v>20.3</v>
      </c>
      <c r="M16" s="2">
        <v>26.6</v>
      </c>
      <c r="N16" s="2">
        <v>113.5</v>
      </c>
      <c r="O16" s="2">
        <v>165.6</v>
      </c>
      <c r="P16" s="2">
        <v>138.4</v>
      </c>
      <c r="Q16" s="2">
        <v>130.5</v>
      </c>
      <c r="R16" s="2">
        <v>84.3</v>
      </c>
      <c r="S16" s="2">
        <v>19.8</v>
      </c>
      <c r="T16" s="2">
        <v>144.4</v>
      </c>
      <c r="U16" s="2">
        <v>0</v>
      </c>
      <c r="V16" s="2">
        <v>113.7</v>
      </c>
      <c r="W16" s="2">
        <v>179.4</v>
      </c>
      <c r="X16" s="2">
        <v>187.6</v>
      </c>
      <c r="Y16" s="2">
        <v>169.6</v>
      </c>
      <c r="Z16" s="2">
        <v>170.7</v>
      </c>
      <c r="AA16" s="2">
        <v>174</v>
      </c>
      <c r="AB16" s="2">
        <v>182.8</v>
      </c>
      <c r="AC16" s="2">
        <v>185</v>
      </c>
      <c r="AD16" s="2">
        <v>183.4</v>
      </c>
      <c r="AE16" s="2">
        <v>3.23</v>
      </c>
      <c r="AF16" s="2">
        <v>28514</v>
      </c>
      <c r="AG16" s="2">
        <v>168.9</v>
      </c>
      <c r="AH16" s="2">
        <v>63.9</v>
      </c>
    </row>
    <row r="17" spans="1:34" x14ac:dyDescent="0.25">
      <c r="A17" s="6">
        <v>45837.874305555553</v>
      </c>
      <c r="B17" s="2">
        <v>101.3</v>
      </c>
      <c r="C17" s="2">
        <v>55.5</v>
      </c>
      <c r="D17" s="2">
        <v>44.8</v>
      </c>
      <c r="E17" s="2">
        <v>66</v>
      </c>
      <c r="F17" s="2">
        <v>78</v>
      </c>
      <c r="G17" s="2">
        <v>4.04</v>
      </c>
      <c r="H17" s="2">
        <v>19.5</v>
      </c>
      <c r="I17" s="2">
        <v>123.2</v>
      </c>
      <c r="J17" s="2">
        <v>24.5</v>
      </c>
      <c r="K17" s="2">
        <v>53.7</v>
      </c>
      <c r="L17" s="2">
        <v>20.3</v>
      </c>
      <c r="M17" s="2">
        <v>26</v>
      </c>
      <c r="N17" s="2">
        <v>113.1</v>
      </c>
      <c r="O17" s="2">
        <v>166.6</v>
      </c>
      <c r="P17" s="2">
        <v>139.9</v>
      </c>
      <c r="Q17" s="2">
        <v>131</v>
      </c>
      <c r="R17" s="2">
        <v>84.3</v>
      </c>
      <c r="S17" s="2">
        <v>20.2</v>
      </c>
      <c r="T17" s="2">
        <v>144.80000000000001</v>
      </c>
      <c r="U17" s="2">
        <v>0</v>
      </c>
      <c r="V17" s="2">
        <v>113.8</v>
      </c>
      <c r="W17" s="2">
        <v>179.4</v>
      </c>
      <c r="X17" s="2">
        <v>187.6</v>
      </c>
      <c r="Y17" s="2">
        <v>169.4</v>
      </c>
      <c r="Z17" s="2">
        <v>170.6</v>
      </c>
      <c r="AA17" s="2">
        <v>173.9</v>
      </c>
      <c r="AB17" s="2">
        <v>182.8</v>
      </c>
      <c r="AC17" s="2">
        <v>185</v>
      </c>
      <c r="AD17" s="2">
        <v>183.4</v>
      </c>
      <c r="AE17" s="2">
        <v>3.24</v>
      </c>
      <c r="AF17" s="2">
        <v>28551</v>
      </c>
      <c r="AG17" s="2">
        <v>168.7</v>
      </c>
      <c r="AH17" s="2">
        <v>64.5</v>
      </c>
    </row>
    <row r="18" spans="1:34" x14ac:dyDescent="0.25">
      <c r="A18" s="6">
        <v>45837.915972222218</v>
      </c>
      <c r="B18" s="2">
        <v>100.5</v>
      </c>
      <c r="C18" s="2">
        <v>55.5</v>
      </c>
      <c r="D18" s="2">
        <v>44.5</v>
      </c>
      <c r="E18" s="2">
        <v>66</v>
      </c>
      <c r="F18" s="2">
        <v>78.5</v>
      </c>
      <c r="G18" s="2">
        <v>4.04</v>
      </c>
      <c r="H18" s="2">
        <v>19.5</v>
      </c>
      <c r="I18" s="2">
        <v>123.6</v>
      </c>
      <c r="J18" s="2">
        <v>24.8</v>
      </c>
      <c r="K18" s="2">
        <v>53.3</v>
      </c>
      <c r="L18" s="2">
        <v>20.399999999999999</v>
      </c>
      <c r="M18" s="2">
        <v>26</v>
      </c>
      <c r="N18" s="2">
        <v>112.5</v>
      </c>
      <c r="O18" s="2">
        <v>166.1</v>
      </c>
      <c r="P18" s="2">
        <v>140.19999999999999</v>
      </c>
      <c r="Q18" s="2">
        <v>131</v>
      </c>
      <c r="R18" s="2">
        <v>84.3</v>
      </c>
      <c r="S18" s="2">
        <v>19.7</v>
      </c>
      <c r="T18" s="2">
        <v>145.30000000000001</v>
      </c>
      <c r="U18" s="2">
        <v>0</v>
      </c>
      <c r="V18" s="2">
        <v>113.4</v>
      </c>
      <c r="W18" s="2">
        <v>179.1</v>
      </c>
      <c r="X18" s="2">
        <v>187.6</v>
      </c>
      <c r="Y18" s="2">
        <v>169.4</v>
      </c>
      <c r="Z18" s="2">
        <v>170.4</v>
      </c>
      <c r="AA18" s="2">
        <v>173.8</v>
      </c>
      <c r="AB18" s="2">
        <v>182.5</v>
      </c>
      <c r="AC18" s="2">
        <v>184.9</v>
      </c>
      <c r="AD18" s="2">
        <v>183.4</v>
      </c>
      <c r="AE18" s="2">
        <v>3.25</v>
      </c>
      <c r="AF18" s="2">
        <v>28339</v>
      </c>
      <c r="AG18" s="2">
        <v>168.4</v>
      </c>
      <c r="AH18" s="2">
        <v>64.099999999999994</v>
      </c>
    </row>
    <row r="19" spans="1:34" x14ac:dyDescent="0.25">
      <c r="A19" s="6">
        <v>45837.957638888889</v>
      </c>
      <c r="B19" s="2">
        <v>100.9</v>
      </c>
      <c r="C19" s="2">
        <v>55.6</v>
      </c>
      <c r="D19" s="2">
        <v>44.3</v>
      </c>
      <c r="E19" s="2">
        <v>66</v>
      </c>
      <c r="F19" s="2">
        <v>78.5</v>
      </c>
      <c r="G19" s="2">
        <v>4.04</v>
      </c>
      <c r="H19" s="2">
        <v>19.5</v>
      </c>
      <c r="I19" s="2">
        <v>123.1</v>
      </c>
      <c r="J19" s="2">
        <v>24.5</v>
      </c>
      <c r="K19" s="2">
        <v>53.5</v>
      </c>
      <c r="L19" s="2">
        <v>20.5</v>
      </c>
      <c r="M19" s="2">
        <v>25.7</v>
      </c>
      <c r="N19" s="2">
        <v>111.9</v>
      </c>
      <c r="O19" s="2">
        <v>165.6</v>
      </c>
      <c r="P19" s="2">
        <v>140.4</v>
      </c>
      <c r="Q19" s="2">
        <v>131</v>
      </c>
      <c r="R19" s="2">
        <v>84.3</v>
      </c>
      <c r="S19" s="2">
        <v>19.600000000000001</v>
      </c>
      <c r="T19" s="2">
        <v>145.69999999999999</v>
      </c>
      <c r="U19" s="2">
        <v>0</v>
      </c>
      <c r="V19" s="2">
        <v>113.4</v>
      </c>
      <c r="W19" s="2">
        <v>179.5</v>
      </c>
      <c r="X19" s="2">
        <v>187.6</v>
      </c>
      <c r="Y19" s="2">
        <v>169.4</v>
      </c>
      <c r="Z19" s="2">
        <v>170.6</v>
      </c>
      <c r="AA19" s="2">
        <v>174</v>
      </c>
      <c r="AB19" s="2">
        <v>183</v>
      </c>
      <c r="AC19" s="2">
        <v>184.9</v>
      </c>
      <c r="AD19" s="2">
        <v>183.4</v>
      </c>
      <c r="AE19" s="2">
        <v>3.25</v>
      </c>
      <c r="AF19" s="2">
        <v>28534</v>
      </c>
      <c r="AG19" s="2">
        <v>168.7</v>
      </c>
      <c r="AH19" s="2">
        <v>64.400000000000006</v>
      </c>
    </row>
    <row r="20" spans="1:34" x14ac:dyDescent="0.25">
      <c r="A20" s="6">
        <v>45837.999305555553</v>
      </c>
      <c r="B20" s="2">
        <v>100.8</v>
      </c>
      <c r="C20" s="2">
        <v>55.7</v>
      </c>
      <c r="D20" s="2">
        <v>44.6</v>
      </c>
      <c r="E20" s="2">
        <v>66</v>
      </c>
      <c r="F20" s="2">
        <v>78.5</v>
      </c>
      <c r="G20" s="2">
        <v>4.04</v>
      </c>
      <c r="H20" s="2">
        <v>19.5</v>
      </c>
      <c r="I20" s="2">
        <v>123.1</v>
      </c>
      <c r="J20" s="2">
        <v>24.2</v>
      </c>
      <c r="K20" s="2">
        <v>53.4</v>
      </c>
      <c r="L20" s="2">
        <v>20.399999999999999</v>
      </c>
      <c r="M20" s="2">
        <v>25.4</v>
      </c>
      <c r="N20" s="2">
        <v>111.9</v>
      </c>
      <c r="O20" s="2">
        <v>165.6</v>
      </c>
      <c r="P20" s="2">
        <v>140.6</v>
      </c>
      <c r="Q20" s="2">
        <v>130</v>
      </c>
      <c r="R20" s="2">
        <v>84.3</v>
      </c>
      <c r="S20" s="2">
        <v>19.7</v>
      </c>
      <c r="T20" s="2">
        <v>145.30000000000001</v>
      </c>
      <c r="U20" s="2">
        <v>0</v>
      </c>
      <c r="V20" s="2">
        <v>113.5</v>
      </c>
      <c r="W20" s="2">
        <v>179.5</v>
      </c>
      <c r="X20" s="2">
        <v>187.6</v>
      </c>
      <c r="Y20" s="2">
        <v>169.3</v>
      </c>
      <c r="Z20" s="2">
        <v>170.8</v>
      </c>
      <c r="AA20" s="2">
        <v>174</v>
      </c>
      <c r="AB20" s="2">
        <v>183</v>
      </c>
      <c r="AC20" s="2">
        <v>184.9</v>
      </c>
      <c r="AD20" s="2">
        <v>183.4</v>
      </c>
      <c r="AE20" s="2">
        <v>3.25</v>
      </c>
      <c r="AF20" s="2">
        <v>28388</v>
      </c>
      <c r="AG20" s="2">
        <v>168.9</v>
      </c>
      <c r="AH20" s="2">
        <v>64.7</v>
      </c>
    </row>
    <row r="21" spans="1:34" x14ac:dyDescent="0.25">
      <c r="A21" s="6">
        <v>45838.040972222218</v>
      </c>
      <c r="B21" s="2">
        <v>100.8</v>
      </c>
      <c r="C21" s="2">
        <v>55.9</v>
      </c>
      <c r="D21" s="2">
        <v>44.5</v>
      </c>
      <c r="E21" s="2">
        <v>66</v>
      </c>
      <c r="F21" s="2">
        <v>78.5</v>
      </c>
      <c r="G21" s="2">
        <v>4.04</v>
      </c>
      <c r="H21" s="2">
        <v>19.5</v>
      </c>
      <c r="I21" s="2">
        <v>122</v>
      </c>
      <c r="J21" s="2">
        <v>24.2</v>
      </c>
      <c r="K21" s="2">
        <v>53.4</v>
      </c>
      <c r="L21" s="2">
        <v>20.399999999999999</v>
      </c>
      <c r="M21" s="2">
        <v>25.4</v>
      </c>
      <c r="N21" s="2">
        <v>111.4</v>
      </c>
      <c r="O21" s="2">
        <v>164.6</v>
      </c>
      <c r="P21" s="2">
        <v>141</v>
      </c>
      <c r="Q21" s="2">
        <v>130</v>
      </c>
      <c r="R21" s="2">
        <v>83.3</v>
      </c>
      <c r="S21" s="2">
        <v>20.6</v>
      </c>
      <c r="T21" s="2">
        <v>145.69999999999999</v>
      </c>
      <c r="U21" s="2">
        <v>0</v>
      </c>
      <c r="V21" s="2">
        <v>113.4</v>
      </c>
      <c r="W21" s="2">
        <v>179.5</v>
      </c>
      <c r="X21" s="2">
        <v>187.6</v>
      </c>
      <c r="Y21" s="2">
        <v>169.3</v>
      </c>
      <c r="Z21" s="2">
        <v>170.7</v>
      </c>
      <c r="AA21" s="2">
        <v>174</v>
      </c>
      <c r="AB21" s="2">
        <v>183</v>
      </c>
      <c r="AC21" s="2">
        <v>184.8</v>
      </c>
      <c r="AD21" s="2">
        <v>183.4</v>
      </c>
      <c r="AE21" s="2">
        <v>3.26</v>
      </c>
      <c r="AF21" s="2">
        <v>28412</v>
      </c>
      <c r="AG21" s="2">
        <v>168.8</v>
      </c>
      <c r="AH21" s="2">
        <v>64.5</v>
      </c>
    </row>
  </sheetData>
  <autoFilter ref="A4:AH21" xr:uid="{00000000-0009-0000-0000-000001000000}"/>
  <mergeCells count="2">
    <mergeCell ref="A2:AH2"/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4" width="24" customWidth="1"/>
  </cols>
  <sheetData>
    <row r="1" spans="1:34" ht="23.1" customHeight="1" x14ac:dyDescent="0.25">
      <c r="A1" s="9" t="s">
        <v>72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x14ac:dyDescent="0.25">
      <c r="A2" s="10" t="s">
        <v>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4" spans="1:34" x14ac:dyDescent="0.25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 s="1" t="s">
        <v>55</v>
      </c>
      <c r="S4" s="1" t="s">
        <v>56</v>
      </c>
      <c r="T4" s="1" t="s">
        <v>57</v>
      </c>
      <c r="U4" s="1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63</v>
      </c>
      <c r="AA4" s="1" t="s">
        <v>64</v>
      </c>
      <c r="AB4" s="1" t="s">
        <v>65</v>
      </c>
      <c r="AC4" s="1" t="s">
        <v>66</v>
      </c>
      <c r="AD4" s="1" t="s">
        <v>67</v>
      </c>
      <c r="AE4" s="1" t="s">
        <v>68</v>
      </c>
      <c r="AF4" s="1" t="s">
        <v>69</v>
      </c>
      <c r="AG4" s="1" t="s">
        <v>70</v>
      </c>
      <c r="AH4" s="1" t="s">
        <v>71</v>
      </c>
    </row>
    <row r="5" spans="1:34" x14ac:dyDescent="0.25">
      <c r="A5" s="6">
        <f>'Normal Anchors'!A6</f>
        <v>45837.415972222218</v>
      </c>
      <c r="B5" s="7">
        <f>'Normal Anchors'!B6-'Normal Anchors'!B5</f>
        <v>-0.60000000000000853</v>
      </c>
      <c r="C5" s="7">
        <f>'Normal Anchors'!C6-'Normal Anchors'!C5</f>
        <v>-0.5</v>
      </c>
      <c r="D5" s="7">
        <f>'Normal Anchors'!D6-'Normal Anchors'!D5</f>
        <v>-0.29999999999999716</v>
      </c>
      <c r="E5" s="7">
        <f>'Normal Anchors'!E6-'Normal Anchors'!E5</f>
        <v>0</v>
      </c>
      <c r="F5" s="7">
        <f>'Normal Anchors'!F6-'Normal Anchors'!F5</f>
        <v>0</v>
      </c>
      <c r="G5" s="7">
        <f>'Normal Anchors'!G6-'Normal Anchors'!G5</f>
        <v>0</v>
      </c>
      <c r="H5" s="7">
        <f>'Normal Anchors'!H6-'Normal Anchors'!H5</f>
        <v>-9.9999999999997868E-2</v>
      </c>
      <c r="I5" s="7">
        <f>'Normal Anchors'!I6-'Normal Anchors'!I5</f>
        <v>-1.6000000000000085</v>
      </c>
      <c r="J5" s="7">
        <f>'Normal Anchors'!J6-'Normal Anchors'!J5</f>
        <v>-4.1000000000000014</v>
      </c>
      <c r="K5" s="7">
        <f>'Normal Anchors'!K6-'Normal Anchors'!K5</f>
        <v>-0.29999999999999716</v>
      </c>
      <c r="L5" s="7">
        <f>'Normal Anchors'!L6-'Normal Anchors'!L5</f>
        <v>0.19999999999999929</v>
      </c>
      <c r="M5" s="7">
        <f>'Normal Anchors'!M6-'Normal Anchors'!M5</f>
        <v>-4.2000000000000028</v>
      </c>
      <c r="N5" s="7">
        <f>'Normal Anchors'!N6-'Normal Anchors'!N5</f>
        <v>-1.5999999999999943</v>
      </c>
      <c r="O5" s="7">
        <f>'Normal Anchors'!O6-'Normal Anchors'!O5</f>
        <v>9.9999999999994316E-2</v>
      </c>
      <c r="P5" s="7">
        <f>'Normal Anchors'!P6-'Normal Anchors'!P5</f>
        <v>-0.40000000000000568</v>
      </c>
      <c r="Q5" s="7">
        <f>'Normal Anchors'!Q6-'Normal Anchors'!Q5</f>
        <v>0</v>
      </c>
      <c r="R5" s="7">
        <f>'Normal Anchors'!R6-'Normal Anchors'!R5</f>
        <v>0</v>
      </c>
      <c r="S5" s="7">
        <f>'Normal Anchors'!S6-'Normal Anchors'!S5</f>
        <v>1.1000000000000014</v>
      </c>
      <c r="T5" s="7">
        <f>'Normal Anchors'!T6-'Normal Anchors'!T5</f>
        <v>-0.30000000000001137</v>
      </c>
      <c r="U5" s="7">
        <f>'Normal Anchors'!U6-'Normal Anchors'!U5</f>
        <v>0</v>
      </c>
      <c r="V5" s="7">
        <f>'Normal Anchors'!V6-'Normal Anchors'!V5</f>
        <v>0.20000000000000284</v>
      </c>
      <c r="W5" s="7">
        <f>'Normal Anchors'!W6-'Normal Anchors'!W5</f>
        <v>0.19999999999998863</v>
      </c>
      <c r="X5" s="7">
        <f>'Normal Anchors'!X6-'Normal Anchors'!X5</f>
        <v>0</v>
      </c>
      <c r="Y5" s="7">
        <f>'Normal Anchors'!Y6-'Normal Anchors'!Y5</f>
        <v>9.9999999999994316E-2</v>
      </c>
      <c r="Z5" s="7">
        <f>'Normal Anchors'!Z6-'Normal Anchors'!Z5</f>
        <v>0.30000000000001137</v>
      </c>
      <c r="AA5" s="7">
        <f>'Normal Anchors'!AA6-'Normal Anchors'!AA5</f>
        <v>0.19999999999998863</v>
      </c>
      <c r="AB5" s="7">
        <f>'Normal Anchors'!AB6-'Normal Anchors'!AB5</f>
        <v>9.9999999999994316E-2</v>
      </c>
      <c r="AC5" s="7">
        <f>'Normal Anchors'!AC6-'Normal Anchors'!AC5</f>
        <v>0</v>
      </c>
      <c r="AD5" s="7">
        <f>'Normal Anchors'!AD6-'Normal Anchors'!AD5</f>
        <v>0</v>
      </c>
      <c r="AE5" s="7">
        <f>'Normal Anchors'!AE6-'Normal Anchors'!AE5</f>
        <v>-2.0000000000000018E-2</v>
      </c>
      <c r="AF5" s="7">
        <f>'Normal Anchors'!AF6-'Normal Anchors'!AF5</f>
        <v>-52</v>
      </c>
      <c r="AG5" s="7">
        <f>'Normal Anchors'!AG6-'Normal Anchors'!AG5</f>
        <v>-0.5</v>
      </c>
      <c r="AH5" s="7">
        <f>'Normal Anchors'!AH6-'Normal Anchors'!AH5</f>
        <v>0.20000000000000284</v>
      </c>
    </row>
    <row r="6" spans="1:34" x14ac:dyDescent="0.25">
      <c r="A6" s="6">
        <f>'Normal Anchors'!A7</f>
        <v>45837.457638888889</v>
      </c>
      <c r="B6" s="7">
        <f>'Normal Anchors'!B7-'Normal Anchors'!B6</f>
        <v>0.30000000000001137</v>
      </c>
      <c r="C6" s="7">
        <f>'Normal Anchors'!C7-'Normal Anchors'!C6</f>
        <v>0</v>
      </c>
      <c r="D6" s="7">
        <f>'Normal Anchors'!D7-'Normal Anchors'!D6</f>
        <v>1.1000000000000014</v>
      </c>
      <c r="E6" s="7">
        <f>'Normal Anchors'!E7-'Normal Anchors'!E6</f>
        <v>0</v>
      </c>
      <c r="F6" s="7">
        <f>'Normal Anchors'!F7-'Normal Anchors'!F6</f>
        <v>0</v>
      </c>
      <c r="G6" s="7">
        <f>'Normal Anchors'!G7-'Normal Anchors'!G6</f>
        <v>2.9999999999999361E-2</v>
      </c>
      <c r="H6" s="7">
        <f>'Normal Anchors'!H7-'Normal Anchors'!H6</f>
        <v>9.9999999999997868E-2</v>
      </c>
      <c r="I6" s="7">
        <f>'Normal Anchors'!I7-'Normal Anchors'!I6</f>
        <v>2.7999999999999972</v>
      </c>
      <c r="J6" s="7">
        <f>'Normal Anchors'!J7-'Normal Anchors'!J6</f>
        <v>0.5</v>
      </c>
      <c r="K6" s="7">
        <f>'Normal Anchors'!K7-'Normal Anchors'!K6</f>
        <v>0.20000000000000284</v>
      </c>
      <c r="L6" s="7">
        <f>'Normal Anchors'!L7-'Normal Anchors'!L6</f>
        <v>0.10000000000000142</v>
      </c>
      <c r="M6" s="7">
        <f>'Normal Anchors'!M7-'Normal Anchors'!M6</f>
        <v>0.80000000000000071</v>
      </c>
      <c r="N6" s="7">
        <f>'Normal Anchors'!N7-'Normal Anchors'!N6</f>
        <v>3.3999999999999915</v>
      </c>
      <c r="O6" s="7">
        <f>'Normal Anchors'!O7-'Normal Anchors'!O6</f>
        <v>2.9000000000000057</v>
      </c>
      <c r="P6" s="7">
        <f>'Normal Anchors'!P7-'Normal Anchors'!P6</f>
        <v>1.2999999999999829</v>
      </c>
      <c r="Q6" s="7">
        <f>'Normal Anchors'!Q7-'Normal Anchors'!Q6</f>
        <v>1</v>
      </c>
      <c r="R6" s="7">
        <f>'Normal Anchors'!R7-'Normal Anchors'!R6</f>
        <v>-1</v>
      </c>
      <c r="S6" s="7">
        <f>'Normal Anchors'!S7-'Normal Anchors'!S6</f>
        <v>1.5</v>
      </c>
      <c r="T6" s="7">
        <f>'Normal Anchors'!T7-'Normal Anchors'!T6</f>
        <v>0.30000000000001137</v>
      </c>
      <c r="U6" s="7">
        <f>'Normal Anchors'!U7-'Normal Anchors'!U6</f>
        <v>0</v>
      </c>
      <c r="V6" s="7">
        <f>'Normal Anchors'!V7-'Normal Anchors'!V6</f>
        <v>0.20000000000000284</v>
      </c>
      <c r="W6" s="7">
        <f>'Normal Anchors'!W7-'Normal Anchors'!W6</f>
        <v>0.30000000000001137</v>
      </c>
      <c r="X6" s="7">
        <f>'Normal Anchors'!X7-'Normal Anchors'!X6</f>
        <v>0</v>
      </c>
      <c r="Y6" s="7">
        <f>'Normal Anchors'!Y7-'Normal Anchors'!Y6</f>
        <v>0.40000000000000568</v>
      </c>
      <c r="Z6" s="7">
        <f>'Normal Anchors'!Z7-'Normal Anchors'!Z6</f>
        <v>0.5</v>
      </c>
      <c r="AA6" s="7">
        <f>'Normal Anchors'!AA7-'Normal Anchors'!AA6</f>
        <v>0.5</v>
      </c>
      <c r="AB6" s="7">
        <f>'Normal Anchors'!AB7-'Normal Anchors'!AB6</f>
        <v>0.40000000000000568</v>
      </c>
      <c r="AC6" s="7">
        <f>'Normal Anchors'!AC7-'Normal Anchors'!AC6</f>
        <v>0.5</v>
      </c>
      <c r="AD6" s="7">
        <f>'Normal Anchors'!AD7-'Normal Anchors'!AD6</f>
        <v>0</v>
      </c>
      <c r="AE6" s="7">
        <f>'Normal Anchors'!AE7-'Normal Anchors'!AE6</f>
        <v>-2.0000000000000018E-2</v>
      </c>
      <c r="AF6" s="7">
        <f>'Normal Anchors'!AF7-'Normal Anchors'!AF6</f>
        <v>79</v>
      </c>
      <c r="AG6" s="7">
        <f>'Normal Anchors'!AG7-'Normal Anchors'!AG6</f>
        <v>0.70000000000001705</v>
      </c>
      <c r="AH6" s="7">
        <f>'Normal Anchors'!AH7-'Normal Anchors'!AH6</f>
        <v>0.29999999999999716</v>
      </c>
    </row>
    <row r="7" spans="1:34" x14ac:dyDescent="0.25">
      <c r="A7" s="6">
        <f>'Normal Anchors'!A8</f>
        <v>45837.499305555553</v>
      </c>
      <c r="B7" s="7">
        <f>'Normal Anchors'!B8-'Normal Anchors'!B7</f>
        <v>9.9999999999994316E-2</v>
      </c>
      <c r="C7" s="7">
        <f>'Normal Anchors'!C8-'Normal Anchors'!C7</f>
        <v>0</v>
      </c>
      <c r="D7" s="7">
        <f>'Normal Anchors'!D8-'Normal Anchors'!D7</f>
        <v>-0.40000000000000568</v>
      </c>
      <c r="E7" s="7">
        <f>'Normal Anchors'!E8-'Normal Anchors'!E7</f>
        <v>1</v>
      </c>
      <c r="F7" s="7">
        <f>'Normal Anchors'!F8-'Normal Anchors'!F7</f>
        <v>-0.5</v>
      </c>
      <c r="G7" s="7">
        <f>'Normal Anchors'!G8-'Normal Anchors'!G7</f>
        <v>2.0000000000000462E-2</v>
      </c>
      <c r="H7" s="7">
        <f>'Normal Anchors'!H8-'Normal Anchors'!H7</f>
        <v>0</v>
      </c>
      <c r="I7" s="7">
        <f>'Normal Anchors'!I8-'Normal Anchors'!I7</f>
        <v>2</v>
      </c>
      <c r="J7" s="7">
        <f>'Normal Anchors'!J8-'Normal Anchors'!J7</f>
        <v>0.60000000000000142</v>
      </c>
      <c r="K7" s="7">
        <f>'Normal Anchors'!K8-'Normal Anchors'!K7</f>
        <v>0</v>
      </c>
      <c r="L7" s="7">
        <f>'Normal Anchors'!L8-'Normal Anchors'!L7</f>
        <v>-0.10000000000000142</v>
      </c>
      <c r="M7" s="7">
        <f>'Normal Anchors'!M8-'Normal Anchors'!M7</f>
        <v>0.60000000000000142</v>
      </c>
      <c r="N7" s="7">
        <f>'Normal Anchors'!N8-'Normal Anchors'!N7</f>
        <v>-0.5</v>
      </c>
      <c r="O7" s="7">
        <f>'Normal Anchors'!O8-'Normal Anchors'!O7</f>
        <v>-1</v>
      </c>
      <c r="P7" s="7">
        <f>'Normal Anchors'!P8-'Normal Anchors'!P7</f>
        <v>0.30000000000001137</v>
      </c>
      <c r="Q7" s="7">
        <f>'Normal Anchors'!Q8-'Normal Anchors'!Q7</f>
        <v>-2</v>
      </c>
      <c r="R7" s="7">
        <f>'Normal Anchors'!R8-'Normal Anchors'!R7</f>
        <v>1</v>
      </c>
      <c r="S7" s="7">
        <f>'Normal Anchors'!S8-'Normal Anchors'!S7</f>
        <v>-1.8999999999999986</v>
      </c>
      <c r="T7" s="7">
        <f>'Normal Anchors'!T8-'Normal Anchors'!T7</f>
        <v>0.79999999999998295</v>
      </c>
      <c r="U7" s="7">
        <f>'Normal Anchors'!U8-'Normal Anchors'!U7</f>
        <v>0</v>
      </c>
      <c r="V7" s="7">
        <f>'Normal Anchors'!V8-'Normal Anchors'!V7</f>
        <v>0.5</v>
      </c>
      <c r="W7" s="7">
        <f>'Normal Anchors'!W8-'Normal Anchors'!W7</f>
        <v>-0.10000000000002274</v>
      </c>
      <c r="X7" s="7">
        <f>'Normal Anchors'!X8-'Normal Anchors'!X7</f>
        <v>0</v>
      </c>
      <c r="Y7" s="7">
        <f>'Normal Anchors'!Y8-'Normal Anchors'!Y7</f>
        <v>9.9999999999994316E-2</v>
      </c>
      <c r="Z7" s="7">
        <f>'Normal Anchors'!Z8-'Normal Anchors'!Z7</f>
        <v>-0.10000000000002274</v>
      </c>
      <c r="AA7" s="7">
        <f>'Normal Anchors'!AA8-'Normal Anchors'!AA7</f>
        <v>-0.19999999999998863</v>
      </c>
      <c r="AB7" s="7">
        <f>'Normal Anchors'!AB8-'Normal Anchors'!AB7</f>
        <v>-9.9999999999994316E-2</v>
      </c>
      <c r="AC7" s="7">
        <f>'Normal Anchors'!AC8-'Normal Anchors'!AC7</f>
        <v>0</v>
      </c>
      <c r="AD7" s="7">
        <f>'Normal Anchors'!AD8-'Normal Anchors'!AD7</f>
        <v>0.5</v>
      </c>
      <c r="AE7" s="7">
        <f>'Normal Anchors'!AE8-'Normal Anchors'!AE7</f>
        <v>2.0000000000000018E-2</v>
      </c>
      <c r="AF7" s="7">
        <f>'Normal Anchors'!AF8-'Normal Anchors'!AF7</f>
        <v>74</v>
      </c>
      <c r="AG7" s="7">
        <f>'Normal Anchors'!AG8-'Normal Anchors'!AG7</f>
        <v>-0.20000000000001705</v>
      </c>
      <c r="AH7" s="7">
        <f>'Normal Anchors'!AH8-'Normal Anchors'!AH7</f>
        <v>-1.5</v>
      </c>
    </row>
    <row r="8" spans="1:34" x14ac:dyDescent="0.25">
      <c r="A8" s="6">
        <f>'Normal Anchors'!A9</f>
        <v>45837.540972222218</v>
      </c>
      <c r="B8" s="7">
        <f>'Normal Anchors'!B9-'Normal Anchors'!B8</f>
        <v>1.2999999999999972</v>
      </c>
      <c r="C8" s="7">
        <f>'Normal Anchors'!C9-'Normal Anchors'!C8</f>
        <v>0.20000000000000284</v>
      </c>
      <c r="D8" s="7">
        <f>'Normal Anchors'!D9-'Normal Anchors'!D8</f>
        <v>0.30000000000000426</v>
      </c>
      <c r="E8" s="7">
        <f>'Normal Anchors'!E9-'Normal Anchors'!E8</f>
        <v>0</v>
      </c>
      <c r="F8" s="7">
        <f>'Normal Anchors'!F9-'Normal Anchors'!F8</f>
        <v>0</v>
      </c>
      <c r="G8" s="7">
        <f>'Normal Anchors'!G9-'Normal Anchors'!G8</f>
        <v>0</v>
      </c>
      <c r="H8" s="7">
        <f>'Normal Anchors'!H9-'Normal Anchors'!H8</f>
        <v>0</v>
      </c>
      <c r="I8" s="7">
        <f>'Normal Anchors'!I9-'Normal Anchors'!I8</f>
        <v>-1.8999999999999915</v>
      </c>
      <c r="J8" s="7">
        <f>'Normal Anchors'!J9-'Normal Anchors'!J8</f>
        <v>0</v>
      </c>
      <c r="K8" s="7">
        <f>'Normal Anchors'!K9-'Normal Anchors'!K8</f>
        <v>0.69999999999999574</v>
      </c>
      <c r="L8" s="7">
        <f>'Normal Anchors'!L9-'Normal Anchors'!L8</f>
        <v>0.10000000000000142</v>
      </c>
      <c r="M8" s="7">
        <f>'Normal Anchors'!M9-'Normal Anchors'!M8</f>
        <v>0</v>
      </c>
      <c r="N8" s="7">
        <f>'Normal Anchors'!N9-'Normal Anchors'!N8</f>
        <v>-1</v>
      </c>
      <c r="O8" s="7">
        <f>'Normal Anchors'!O9-'Normal Anchors'!O8</f>
        <v>-0.69999999999998863</v>
      </c>
      <c r="P8" s="7">
        <f>'Normal Anchors'!P9-'Normal Anchors'!P8</f>
        <v>1.5999999999999943</v>
      </c>
      <c r="Q8" s="7">
        <f>'Normal Anchors'!Q9-'Normal Anchors'!Q8</f>
        <v>-0.5</v>
      </c>
      <c r="R8" s="7">
        <f>'Normal Anchors'!R9-'Normal Anchors'!R8</f>
        <v>0</v>
      </c>
      <c r="S8" s="7">
        <f>'Normal Anchors'!S9-'Normal Anchors'!S8</f>
        <v>0</v>
      </c>
      <c r="T8" s="7">
        <f>'Normal Anchors'!T9-'Normal Anchors'!T8</f>
        <v>0.40000000000000568</v>
      </c>
      <c r="U8" s="7">
        <f>'Normal Anchors'!U9-'Normal Anchors'!U8</f>
        <v>0</v>
      </c>
      <c r="V8" s="7">
        <f>'Normal Anchors'!V9-'Normal Anchors'!V8</f>
        <v>0.70000000000000284</v>
      </c>
      <c r="W8" s="7">
        <f>'Normal Anchors'!W9-'Normal Anchors'!W8</f>
        <v>0.20000000000001705</v>
      </c>
      <c r="X8" s="7">
        <f>'Normal Anchors'!X9-'Normal Anchors'!X8</f>
        <v>0.5</v>
      </c>
      <c r="Y8" s="7">
        <f>'Normal Anchors'!Y9-'Normal Anchors'!Y8</f>
        <v>0.19999999999998863</v>
      </c>
      <c r="Z8" s="7">
        <f>'Normal Anchors'!Z9-'Normal Anchors'!Z8</f>
        <v>0.10000000000002274</v>
      </c>
      <c r="AA8" s="7">
        <f>'Normal Anchors'!AA9-'Normal Anchors'!AA8</f>
        <v>9.9999999999994316E-2</v>
      </c>
      <c r="AB8" s="7">
        <f>'Normal Anchors'!AB9-'Normal Anchors'!AB8</f>
        <v>0.19999999999998863</v>
      </c>
      <c r="AC8" s="7">
        <f>'Normal Anchors'!AC9-'Normal Anchors'!AC8</f>
        <v>0.20000000000001705</v>
      </c>
      <c r="AD8" s="7">
        <f>'Normal Anchors'!AD9-'Normal Anchors'!AD8</f>
        <v>0</v>
      </c>
      <c r="AE8" s="7">
        <f>'Normal Anchors'!AE9-'Normal Anchors'!AE8</f>
        <v>1.0000000000000231E-2</v>
      </c>
      <c r="AF8" s="7">
        <f>'Normal Anchors'!AF9-'Normal Anchors'!AF8</f>
        <v>305</v>
      </c>
      <c r="AG8" s="7">
        <f>'Normal Anchors'!AG9-'Normal Anchors'!AG8</f>
        <v>0.5</v>
      </c>
      <c r="AH8" s="7">
        <f>'Normal Anchors'!AH9-'Normal Anchors'!AH8</f>
        <v>-0.19999999999999574</v>
      </c>
    </row>
    <row r="9" spans="1:34" x14ac:dyDescent="0.25">
      <c r="A9" s="6">
        <f>'Normal Anchors'!A10</f>
        <v>45837.582638888889</v>
      </c>
      <c r="B9" s="7">
        <f>'Normal Anchors'!B10-'Normal Anchors'!B9</f>
        <v>-0.59999999999999432</v>
      </c>
      <c r="C9" s="7">
        <f>'Normal Anchors'!C10-'Normal Anchors'!C9</f>
        <v>0.29999999999999716</v>
      </c>
      <c r="D9" s="7">
        <f>'Normal Anchors'!D10-'Normal Anchors'!D9</f>
        <v>0.60000000000000142</v>
      </c>
      <c r="E9" s="7">
        <f>'Normal Anchors'!E10-'Normal Anchors'!E9</f>
        <v>0</v>
      </c>
      <c r="F9" s="7">
        <f>'Normal Anchors'!F10-'Normal Anchors'!F9</f>
        <v>0</v>
      </c>
      <c r="G9" s="7">
        <f>'Normal Anchors'!G10-'Normal Anchors'!G9</f>
        <v>0</v>
      </c>
      <c r="H9" s="7">
        <f>'Normal Anchors'!H10-'Normal Anchors'!H9</f>
        <v>0.10000000000000142</v>
      </c>
      <c r="I9" s="7">
        <f>'Normal Anchors'!I10-'Normal Anchors'!I9</f>
        <v>0.70000000000000284</v>
      </c>
      <c r="J9" s="7">
        <f>'Normal Anchors'!J10-'Normal Anchors'!J9</f>
        <v>0.30000000000000071</v>
      </c>
      <c r="K9" s="7">
        <f>'Normal Anchors'!K10-'Normal Anchors'!K9</f>
        <v>-0.29999999999999716</v>
      </c>
      <c r="L9" s="7">
        <f>'Normal Anchors'!L10-'Normal Anchors'!L9</f>
        <v>0</v>
      </c>
      <c r="M9" s="7">
        <f>'Normal Anchors'!M10-'Normal Anchors'!M9</f>
        <v>0.19999999999999929</v>
      </c>
      <c r="N9" s="7">
        <f>'Normal Anchors'!N10-'Normal Anchors'!N9</f>
        <v>0.60000000000000853</v>
      </c>
      <c r="O9" s="7">
        <f>'Normal Anchors'!O10-'Normal Anchors'!O9</f>
        <v>0.69999999999998863</v>
      </c>
      <c r="P9" s="7">
        <f>'Normal Anchors'!P10-'Normal Anchors'!P9</f>
        <v>-1.9000000000000057</v>
      </c>
      <c r="Q9" s="7">
        <f>'Normal Anchors'!Q10-'Normal Anchors'!Q9</f>
        <v>0.59999999999999432</v>
      </c>
      <c r="R9" s="7">
        <f>'Normal Anchors'!R10-'Normal Anchors'!R9</f>
        <v>-0.90000000000000568</v>
      </c>
      <c r="S9" s="7">
        <f>'Normal Anchors'!S10-'Normal Anchors'!S9</f>
        <v>1.5</v>
      </c>
      <c r="T9" s="7">
        <f>'Normal Anchors'!T10-'Normal Anchors'!T9</f>
        <v>-0.40000000000000568</v>
      </c>
      <c r="U9" s="7">
        <f>'Normal Anchors'!U10-'Normal Anchors'!U9</f>
        <v>0</v>
      </c>
      <c r="V9" s="7">
        <f>'Normal Anchors'!V10-'Normal Anchors'!V9</f>
        <v>0.29999999999999716</v>
      </c>
      <c r="W9" s="7">
        <f>'Normal Anchors'!W10-'Normal Anchors'!W9</f>
        <v>-0.59999999999999432</v>
      </c>
      <c r="X9" s="7">
        <f>'Normal Anchors'!X10-'Normal Anchors'!X9</f>
        <v>0</v>
      </c>
      <c r="Y9" s="7">
        <f>'Normal Anchors'!Y10-'Normal Anchors'!Y9</f>
        <v>0</v>
      </c>
      <c r="Z9" s="7">
        <f>'Normal Anchors'!Z10-'Normal Anchors'!Z9</f>
        <v>9.9999999999994316E-2</v>
      </c>
      <c r="AA9" s="7">
        <f>'Normal Anchors'!AA10-'Normal Anchors'!AA9</f>
        <v>-9.9999999999994316E-2</v>
      </c>
      <c r="AB9" s="7">
        <f>'Normal Anchors'!AB10-'Normal Anchors'!AB9</f>
        <v>-0.19999999999998863</v>
      </c>
      <c r="AC9" s="7">
        <f>'Normal Anchors'!AC10-'Normal Anchors'!AC9</f>
        <v>9.9999999999994316E-2</v>
      </c>
      <c r="AD9" s="7">
        <f>'Normal Anchors'!AD10-'Normal Anchors'!AD9</f>
        <v>0</v>
      </c>
      <c r="AE9" s="7">
        <f>'Normal Anchors'!AE10-'Normal Anchors'!AE9</f>
        <v>0</v>
      </c>
      <c r="AF9" s="7">
        <f>'Normal Anchors'!AF10-'Normal Anchors'!AF9</f>
        <v>-212</v>
      </c>
      <c r="AG9" s="7">
        <f>'Normal Anchors'!AG10-'Normal Anchors'!AG9</f>
        <v>0.10000000000002274</v>
      </c>
      <c r="AH9" s="7">
        <f>'Normal Anchors'!AH10-'Normal Anchors'!AH9</f>
        <v>-0.29999999999999716</v>
      </c>
    </row>
    <row r="10" spans="1:34" x14ac:dyDescent="0.25">
      <c r="A10" s="6">
        <f>'Normal Anchors'!A11</f>
        <v>45837.624305555553</v>
      </c>
      <c r="B10" s="7">
        <f>'Normal Anchors'!B11-'Normal Anchors'!B10</f>
        <v>0.29999999999999716</v>
      </c>
      <c r="C10" s="7">
        <f>'Normal Anchors'!C11-'Normal Anchors'!C10</f>
        <v>0.20000000000000284</v>
      </c>
      <c r="D10" s="7">
        <f>'Normal Anchors'!D11-'Normal Anchors'!D10</f>
        <v>0.29999999999999716</v>
      </c>
      <c r="E10" s="7">
        <f>'Normal Anchors'!E11-'Normal Anchors'!E10</f>
        <v>0</v>
      </c>
      <c r="F10" s="7">
        <f>'Normal Anchors'!F11-'Normal Anchors'!F10</f>
        <v>0</v>
      </c>
      <c r="G10" s="7">
        <f>'Normal Anchors'!G11-'Normal Anchors'!G10</f>
        <v>0</v>
      </c>
      <c r="H10" s="7">
        <f>'Normal Anchors'!H11-'Normal Anchors'!H10</f>
        <v>-0.10000000000000142</v>
      </c>
      <c r="I10" s="7">
        <f>'Normal Anchors'!I11-'Normal Anchors'!I10</f>
        <v>0.79999999999999716</v>
      </c>
      <c r="J10" s="7">
        <f>'Normal Anchors'!J11-'Normal Anchors'!J10</f>
        <v>-0.30000000000000071</v>
      </c>
      <c r="K10" s="7">
        <f>'Normal Anchors'!K11-'Normal Anchors'!K10</f>
        <v>0.19999999999999574</v>
      </c>
      <c r="L10" s="7">
        <f>'Normal Anchors'!L11-'Normal Anchors'!L10</f>
        <v>-0.10000000000000142</v>
      </c>
      <c r="M10" s="7">
        <f>'Normal Anchors'!M11-'Normal Anchors'!M10</f>
        <v>-0.19999999999999929</v>
      </c>
      <c r="N10" s="7">
        <f>'Normal Anchors'!N11-'Normal Anchors'!N10</f>
        <v>-0.5</v>
      </c>
      <c r="O10" s="7">
        <f>'Normal Anchors'!O11-'Normal Anchors'!O10</f>
        <v>0</v>
      </c>
      <c r="P10" s="7">
        <f>'Normal Anchors'!P11-'Normal Anchors'!P10</f>
        <v>-0.19999999999998863</v>
      </c>
      <c r="Q10" s="7">
        <f>'Normal Anchors'!Q11-'Normal Anchors'!Q10</f>
        <v>0.5</v>
      </c>
      <c r="R10" s="7">
        <f>'Normal Anchors'!R11-'Normal Anchors'!R10</f>
        <v>0</v>
      </c>
      <c r="S10" s="7">
        <f>'Normal Anchors'!S11-'Normal Anchors'!S10</f>
        <v>-0.30000000000000071</v>
      </c>
      <c r="T10" s="7">
        <f>'Normal Anchors'!T11-'Normal Anchors'!T10</f>
        <v>-0.39999999999997726</v>
      </c>
      <c r="U10" s="7">
        <f>'Normal Anchors'!U11-'Normal Anchors'!U10</f>
        <v>0</v>
      </c>
      <c r="V10" s="7">
        <f>'Normal Anchors'!V11-'Normal Anchors'!V10</f>
        <v>-0.29999999999999716</v>
      </c>
      <c r="W10" s="7">
        <f>'Normal Anchors'!W11-'Normal Anchors'!W10</f>
        <v>9.9999999999994316E-2</v>
      </c>
      <c r="X10" s="7">
        <f>'Normal Anchors'!X11-'Normal Anchors'!X10</f>
        <v>0</v>
      </c>
      <c r="Y10" s="7">
        <f>'Normal Anchors'!Y11-'Normal Anchors'!Y10</f>
        <v>-9.9999999999994316E-2</v>
      </c>
      <c r="Z10" s="7">
        <f>'Normal Anchors'!Z11-'Normal Anchors'!Z10</f>
        <v>-0.40000000000000568</v>
      </c>
      <c r="AA10" s="7">
        <f>'Normal Anchors'!AA11-'Normal Anchors'!AA10</f>
        <v>-0.30000000000001137</v>
      </c>
      <c r="AB10" s="7">
        <f>'Normal Anchors'!AB11-'Normal Anchors'!AB10</f>
        <v>-0.30000000000001137</v>
      </c>
      <c r="AC10" s="7">
        <f>'Normal Anchors'!AC11-'Normal Anchors'!AC10</f>
        <v>0</v>
      </c>
      <c r="AD10" s="7">
        <f>'Normal Anchors'!AD11-'Normal Anchors'!AD10</f>
        <v>0</v>
      </c>
      <c r="AE10" s="7">
        <f>'Normal Anchors'!AE11-'Normal Anchors'!AE10</f>
        <v>0</v>
      </c>
      <c r="AF10" s="7">
        <f>'Normal Anchors'!AF11-'Normal Anchors'!AF10</f>
        <v>83</v>
      </c>
      <c r="AG10" s="7">
        <f>'Normal Anchors'!AG11-'Normal Anchors'!AG10</f>
        <v>-0.10000000000002274</v>
      </c>
      <c r="AH10" s="7">
        <f>'Normal Anchors'!AH11-'Normal Anchors'!AH10</f>
        <v>-0.39999999999999858</v>
      </c>
    </row>
    <row r="11" spans="1:34" x14ac:dyDescent="0.25">
      <c r="A11" s="6">
        <f>'Normal Anchors'!A12</f>
        <v>45837.665972222218</v>
      </c>
      <c r="B11" s="7">
        <f>'Normal Anchors'!B12-'Normal Anchors'!B11</f>
        <v>-0.40000000000000568</v>
      </c>
      <c r="C11" s="7">
        <f>'Normal Anchors'!C12-'Normal Anchors'!C11</f>
        <v>0.19999999999999574</v>
      </c>
      <c r="D11" s="7">
        <f>'Normal Anchors'!D12-'Normal Anchors'!D11</f>
        <v>0</v>
      </c>
      <c r="E11" s="7">
        <f>'Normal Anchors'!E12-'Normal Anchors'!E11</f>
        <v>0</v>
      </c>
      <c r="F11" s="7">
        <f>'Normal Anchors'!F12-'Normal Anchors'!F11</f>
        <v>0</v>
      </c>
      <c r="G11" s="7">
        <f>'Normal Anchors'!G12-'Normal Anchors'!G11</f>
        <v>0</v>
      </c>
      <c r="H11" s="7">
        <f>'Normal Anchors'!H12-'Normal Anchors'!H11</f>
        <v>-0.19999999999999929</v>
      </c>
      <c r="I11" s="7">
        <f>'Normal Anchors'!I12-'Normal Anchors'!I11</f>
        <v>-0.20000000000000284</v>
      </c>
      <c r="J11" s="7">
        <f>'Normal Anchors'!J12-'Normal Anchors'!J11</f>
        <v>0</v>
      </c>
      <c r="K11" s="7">
        <f>'Normal Anchors'!K12-'Normal Anchors'!K11</f>
        <v>-0.19999999999999574</v>
      </c>
      <c r="L11" s="7">
        <f>'Normal Anchors'!L12-'Normal Anchors'!L11</f>
        <v>0</v>
      </c>
      <c r="M11" s="7">
        <f>'Normal Anchors'!M12-'Normal Anchors'!M11</f>
        <v>0</v>
      </c>
      <c r="N11" s="7">
        <f>'Normal Anchors'!N12-'Normal Anchors'!N11</f>
        <v>-1.1000000000000085</v>
      </c>
      <c r="O11" s="7">
        <f>'Normal Anchors'!O12-'Normal Anchors'!O11</f>
        <v>-0.5</v>
      </c>
      <c r="P11" s="7">
        <f>'Normal Anchors'!P12-'Normal Anchors'!P11</f>
        <v>0.59999999999999432</v>
      </c>
      <c r="Q11" s="7">
        <f>'Normal Anchors'!Q12-'Normal Anchors'!Q11</f>
        <v>-0.5</v>
      </c>
      <c r="R11" s="7">
        <f>'Normal Anchors'!R12-'Normal Anchors'!R11</f>
        <v>1</v>
      </c>
      <c r="S11" s="7">
        <f>'Normal Anchors'!S12-'Normal Anchors'!S11</f>
        <v>-1</v>
      </c>
      <c r="T11" s="7">
        <f>'Normal Anchors'!T12-'Normal Anchors'!T11</f>
        <v>-0.10000000000002274</v>
      </c>
      <c r="U11" s="7">
        <f>'Normal Anchors'!U12-'Normal Anchors'!U11</f>
        <v>0</v>
      </c>
      <c r="V11" s="7">
        <f>'Normal Anchors'!V12-'Normal Anchors'!V11</f>
        <v>-0.5</v>
      </c>
      <c r="W11" s="7">
        <f>'Normal Anchors'!W12-'Normal Anchors'!W11</f>
        <v>-0.5</v>
      </c>
      <c r="X11" s="7">
        <f>'Normal Anchors'!X12-'Normal Anchors'!X11</f>
        <v>0</v>
      </c>
      <c r="Y11" s="7">
        <f>'Normal Anchors'!Y12-'Normal Anchors'!Y11</f>
        <v>-0.19999999999998863</v>
      </c>
      <c r="Z11" s="7">
        <f>'Normal Anchors'!Z12-'Normal Anchors'!Z11</f>
        <v>-0.59999999999999432</v>
      </c>
      <c r="AA11" s="7">
        <f>'Normal Anchors'!AA12-'Normal Anchors'!AA11</f>
        <v>-0.5</v>
      </c>
      <c r="AB11" s="7">
        <f>'Normal Anchors'!AB12-'Normal Anchors'!AB11</f>
        <v>-0.19999999999998863</v>
      </c>
      <c r="AC11" s="7">
        <f>'Normal Anchors'!AC12-'Normal Anchors'!AC11</f>
        <v>-9.9999999999994316E-2</v>
      </c>
      <c r="AD11" s="7">
        <f>'Normal Anchors'!AD12-'Normal Anchors'!AD11</f>
        <v>0</v>
      </c>
      <c r="AE11" s="7">
        <f>'Normal Anchors'!AE12-'Normal Anchors'!AE11</f>
        <v>2.0000000000000018E-2</v>
      </c>
      <c r="AF11" s="7">
        <f>'Normal Anchors'!AF12-'Normal Anchors'!AF11</f>
        <v>-92</v>
      </c>
      <c r="AG11" s="7">
        <f>'Normal Anchors'!AG12-'Normal Anchors'!AG11</f>
        <v>-0.29999999999998295</v>
      </c>
      <c r="AH11" s="7">
        <f>'Normal Anchors'!AH12-'Normal Anchors'!AH11</f>
        <v>-0.30000000000000426</v>
      </c>
    </row>
    <row r="12" spans="1:34" x14ac:dyDescent="0.25">
      <c r="A12" s="6">
        <f>'Normal Anchors'!A13</f>
        <v>45837.707638888889</v>
      </c>
      <c r="B12" s="7">
        <f>'Normal Anchors'!B13-'Normal Anchors'!B12</f>
        <v>0.5</v>
      </c>
      <c r="C12" s="7">
        <f>'Normal Anchors'!C13-'Normal Anchors'!C12</f>
        <v>-0.39999999999999858</v>
      </c>
      <c r="D12" s="7">
        <f>'Normal Anchors'!D13-'Normal Anchors'!D12</f>
        <v>-0.79999999999999716</v>
      </c>
      <c r="E12" s="7">
        <f>'Normal Anchors'!E13-'Normal Anchors'!E12</f>
        <v>0</v>
      </c>
      <c r="F12" s="7">
        <f>'Normal Anchors'!F13-'Normal Anchors'!F12</f>
        <v>0</v>
      </c>
      <c r="G12" s="7">
        <f>'Normal Anchors'!G13-'Normal Anchors'!G12</f>
        <v>0</v>
      </c>
      <c r="H12" s="7">
        <f>'Normal Anchors'!H13-'Normal Anchors'!H12</f>
        <v>-0.10000000000000142</v>
      </c>
      <c r="I12" s="7">
        <f>'Normal Anchors'!I13-'Normal Anchors'!I12</f>
        <v>-2.2000000000000028</v>
      </c>
      <c r="J12" s="7">
        <f>'Normal Anchors'!J13-'Normal Anchors'!J12</f>
        <v>0</v>
      </c>
      <c r="K12" s="7">
        <f>'Normal Anchors'!K13-'Normal Anchors'!K12</f>
        <v>0.19999999999999574</v>
      </c>
      <c r="L12" s="7">
        <f>'Normal Anchors'!L13-'Normal Anchors'!L12</f>
        <v>0.19999999999999929</v>
      </c>
      <c r="M12" s="7">
        <f>'Normal Anchors'!M13-'Normal Anchors'!M12</f>
        <v>0</v>
      </c>
      <c r="N12" s="7">
        <f>'Normal Anchors'!N13-'Normal Anchors'!N12</f>
        <v>-0.39999999999999147</v>
      </c>
      <c r="O12" s="7">
        <f>'Normal Anchors'!O13-'Normal Anchors'!O12</f>
        <v>-0.59999999999999432</v>
      </c>
      <c r="P12" s="7">
        <f>'Normal Anchors'!P13-'Normal Anchors'!P12</f>
        <v>0.30000000000001137</v>
      </c>
      <c r="Q12" s="7">
        <f>'Normal Anchors'!Q13-'Normal Anchors'!Q12</f>
        <v>1.4000000000000057</v>
      </c>
      <c r="R12" s="7">
        <f>'Normal Anchors'!R13-'Normal Anchors'!R12</f>
        <v>-1</v>
      </c>
      <c r="S12" s="7">
        <f>'Normal Anchors'!S13-'Normal Anchors'!S12</f>
        <v>-0.5</v>
      </c>
      <c r="T12" s="7">
        <f>'Normal Anchors'!T13-'Normal Anchors'!T12</f>
        <v>0.5</v>
      </c>
      <c r="U12" s="7">
        <f>'Normal Anchors'!U13-'Normal Anchors'!U12</f>
        <v>0</v>
      </c>
      <c r="V12" s="7">
        <f>'Normal Anchors'!V13-'Normal Anchors'!V12</f>
        <v>0</v>
      </c>
      <c r="W12" s="7">
        <f>'Normal Anchors'!W13-'Normal Anchors'!W12</f>
        <v>0</v>
      </c>
      <c r="X12" s="7">
        <f>'Normal Anchors'!X13-'Normal Anchors'!X12</f>
        <v>0</v>
      </c>
      <c r="Y12" s="7">
        <f>'Normal Anchors'!Y13-'Normal Anchors'!Y12</f>
        <v>9.9999999999994316E-2</v>
      </c>
      <c r="Z12" s="7">
        <f>'Normal Anchors'!Z13-'Normal Anchors'!Z12</f>
        <v>9.9999999999994316E-2</v>
      </c>
      <c r="AA12" s="7">
        <f>'Normal Anchors'!AA13-'Normal Anchors'!AA12</f>
        <v>0</v>
      </c>
      <c r="AB12" s="7">
        <f>'Normal Anchors'!AB13-'Normal Anchors'!AB12</f>
        <v>-0.19999999999998863</v>
      </c>
      <c r="AC12" s="7">
        <f>'Normal Anchors'!AC13-'Normal Anchors'!AC12</f>
        <v>-0.10000000000002274</v>
      </c>
      <c r="AD12" s="7">
        <f>'Normal Anchors'!AD13-'Normal Anchors'!AD12</f>
        <v>-0.5</v>
      </c>
      <c r="AE12" s="7">
        <f>'Normal Anchors'!AE13-'Normal Anchors'!AE12</f>
        <v>9.9999999999999645E-2</v>
      </c>
      <c r="AF12" s="7">
        <f>'Normal Anchors'!AF13-'Normal Anchors'!AF12</f>
        <v>129</v>
      </c>
      <c r="AG12" s="7">
        <f>'Normal Anchors'!AG13-'Normal Anchors'!AG12</f>
        <v>-1.3000000000000114</v>
      </c>
      <c r="AH12" s="7">
        <f>'Normal Anchors'!AH13-'Normal Anchors'!AH12</f>
        <v>-1.6000000000000014</v>
      </c>
    </row>
    <row r="13" spans="1:34" x14ac:dyDescent="0.25">
      <c r="A13" s="6">
        <f>'Normal Anchors'!A14</f>
        <v>45837.749305555553</v>
      </c>
      <c r="B13" s="7">
        <f>'Normal Anchors'!B14-'Normal Anchors'!B13</f>
        <v>0.20000000000000284</v>
      </c>
      <c r="C13" s="7">
        <f>'Normal Anchors'!C14-'Normal Anchors'!C13</f>
        <v>0.5</v>
      </c>
      <c r="D13" s="7">
        <f>'Normal Anchors'!D14-'Normal Anchors'!D13</f>
        <v>0.69999999999999574</v>
      </c>
      <c r="E13" s="7">
        <f>'Normal Anchors'!E14-'Normal Anchors'!E13</f>
        <v>0</v>
      </c>
      <c r="F13" s="7">
        <f>'Normal Anchors'!F14-'Normal Anchors'!F13</f>
        <v>0</v>
      </c>
      <c r="G13" s="7">
        <f>'Normal Anchors'!G14-'Normal Anchors'!G13</f>
        <v>9.9999999999997868E-3</v>
      </c>
      <c r="H13" s="7">
        <f>'Normal Anchors'!H14-'Normal Anchors'!H13</f>
        <v>0.10000000000000142</v>
      </c>
      <c r="I13" s="7">
        <f>'Normal Anchors'!I14-'Normal Anchors'!I13</f>
        <v>0.10000000000000853</v>
      </c>
      <c r="J13" s="7">
        <f>'Normal Anchors'!J14-'Normal Anchors'!J13</f>
        <v>-0.5</v>
      </c>
      <c r="K13" s="7">
        <f>'Normal Anchors'!K14-'Normal Anchors'!K13</f>
        <v>0.10000000000000142</v>
      </c>
      <c r="L13" s="7">
        <f>'Normal Anchors'!L14-'Normal Anchors'!L13</f>
        <v>-9.9999999999997868E-2</v>
      </c>
      <c r="M13" s="7">
        <f>'Normal Anchors'!M14-'Normal Anchors'!M13</f>
        <v>-0.30000000000000071</v>
      </c>
      <c r="N13" s="7">
        <f>'Normal Anchors'!N14-'Normal Anchors'!N13</f>
        <v>0.59999999999999432</v>
      </c>
      <c r="O13" s="7">
        <f>'Normal Anchors'!O14-'Normal Anchors'!O13</f>
        <v>1.0999999999999943</v>
      </c>
      <c r="P13" s="7">
        <f>'Normal Anchors'!P14-'Normal Anchors'!P13</f>
        <v>-0.40000000000000568</v>
      </c>
      <c r="Q13" s="7">
        <f>'Normal Anchors'!Q14-'Normal Anchors'!Q13</f>
        <v>-0.5</v>
      </c>
      <c r="R13" s="7">
        <f>'Normal Anchors'!R14-'Normal Anchors'!R13</f>
        <v>-1</v>
      </c>
      <c r="S13" s="7">
        <f>'Normal Anchors'!S14-'Normal Anchors'!S13</f>
        <v>2</v>
      </c>
      <c r="T13" s="7">
        <f>'Normal Anchors'!T14-'Normal Anchors'!T13</f>
        <v>-0.39999999999997726</v>
      </c>
      <c r="U13" s="7">
        <f>'Normal Anchors'!U14-'Normal Anchors'!U13</f>
        <v>0</v>
      </c>
      <c r="V13" s="7">
        <f>'Normal Anchors'!V14-'Normal Anchors'!V13</f>
        <v>-0.40000000000000568</v>
      </c>
      <c r="W13" s="7">
        <f>'Normal Anchors'!W14-'Normal Anchors'!W13</f>
        <v>0.29999999999998295</v>
      </c>
      <c r="X13" s="7">
        <f>'Normal Anchors'!X14-'Normal Anchors'!X13</f>
        <v>0</v>
      </c>
      <c r="Y13" s="7">
        <f>'Normal Anchors'!Y14-'Normal Anchors'!Y13</f>
        <v>0</v>
      </c>
      <c r="Z13" s="7">
        <f>'Normal Anchors'!Z14-'Normal Anchors'!Z13</f>
        <v>0.30000000000001137</v>
      </c>
      <c r="AA13" s="7">
        <f>'Normal Anchors'!AA14-'Normal Anchors'!AA13</f>
        <v>0.30000000000001137</v>
      </c>
      <c r="AB13" s="7">
        <f>'Normal Anchors'!AB14-'Normal Anchors'!AB13</f>
        <v>0.19999999999998863</v>
      </c>
      <c r="AC13" s="7">
        <f>'Normal Anchors'!AC14-'Normal Anchors'!AC13</f>
        <v>0.10000000000002274</v>
      </c>
      <c r="AD13" s="7">
        <f>'Normal Anchors'!AD14-'Normal Anchors'!AD13</f>
        <v>0</v>
      </c>
      <c r="AE13" s="7">
        <f>'Normal Anchors'!AE14-'Normal Anchors'!AE13</f>
        <v>-0.10999999999999988</v>
      </c>
      <c r="AF13" s="7">
        <f>'Normal Anchors'!AF14-'Normal Anchors'!AF13</f>
        <v>62</v>
      </c>
      <c r="AG13" s="7">
        <f>'Normal Anchors'!AG14-'Normal Anchors'!AG13</f>
        <v>1.3000000000000114</v>
      </c>
      <c r="AH13" s="7">
        <f>'Normal Anchors'!AH14-'Normal Anchors'!AH13</f>
        <v>1.8000000000000043</v>
      </c>
    </row>
    <row r="14" spans="1:34" x14ac:dyDescent="0.25">
      <c r="A14" s="6">
        <f>'Normal Anchors'!A15</f>
        <v>45837.790972222218</v>
      </c>
      <c r="B14" s="7">
        <f>'Normal Anchors'!B15-'Normal Anchors'!B14</f>
        <v>-0.29999999999999716</v>
      </c>
      <c r="C14" s="7">
        <f>'Normal Anchors'!C15-'Normal Anchors'!C14</f>
        <v>-0.29999999999999716</v>
      </c>
      <c r="D14" s="7">
        <f>'Normal Anchors'!D15-'Normal Anchors'!D14</f>
        <v>-0.69999999999999574</v>
      </c>
      <c r="E14" s="7">
        <f>'Normal Anchors'!E15-'Normal Anchors'!E14</f>
        <v>0</v>
      </c>
      <c r="F14" s="7">
        <f>'Normal Anchors'!F15-'Normal Anchors'!F14</f>
        <v>0</v>
      </c>
      <c r="G14" s="7">
        <f>'Normal Anchors'!G15-'Normal Anchors'!G14</f>
        <v>-9.9999999999997868E-3</v>
      </c>
      <c r="H14" s="7">
        <f>'Normal Anchors'!H15-'Normal Anchors'!H14</f>
        <v>0</v>
      </c>
      <c r="I14" s="7">
        <f>'Normal Anchors'!I15-'Normal Anchors'!I14</f>
        <v>0.39999999999999147</v>
      </c>
      <c r="J14" s="7">
        <f>'Normal Anchors'!J15-'Normal Anchors'!J14</f>
        <v>0.30000000000000071</v>
      </c>
      <c r="K14" s="7">
        <f>'Normal Anchors'!K15-'Normal Anchors'!K14</f>
        <v>-0.10000000000000142</v>
      </c>
      <c r="L14" s="7">
        <f>'Normal Anchors'!L15-'Normal Anchors'!L14</f>
        <v>0</v>
      </c>
      <c r="M14" s="7">
        <f>'Normal Anchors'!M15-'Normal Anchors'!M14</f>
        <v>0.30000000000000071</v>
      </c>
      <c r="N14" s="7">
        <f>'Normal Anchors'!N15-'Normal Anchors'!N14</f>
        <v>0</v>
      </c>
      <c r="O14" s="7">
        <f>'Normal Anchors'!O15-'Normal Anchors'!O14</f>
        <v>-0.5</v>
      </c>
      <c r="P14" s="7">
        <f>'Normal Anchors'!P15-'Normal Anchors'!P14</f>
        <v>9.9999999999994316E-2</v>
      </c>
      <c r="Q14" s="7">
        <f>'Normal Anchors'!Q15-'Normal Anchors'!Q14</f>
        <v>-0.5</v>
      </c>
      <c r="R14" s="7">
        <f>'Normal Anchors'!R15-'Normal Anchors'!R14</f>
        <v>1</v>
      </c>
      <c r="S14" s="7">
        <f>'Normal Anchors'!S15-'Normal Anchors'!S14</f>
        <v>-1.5</v>
      </c>
      <c r="T14" s="7">
        <f>'Normal Anchors'!T15-'Normal Anchors'!T14</f>
        <v>0</v>
      </c>
      <c r="U14" s="7">
        <f>'Normal Anchors'!U15-'Normal Anchors'!U14</f>
        <v>0</v>
      </c>
      <c r="V14" s="7">
        <f>'Normal Anchors'!V15-'Normal Anchors'!V14</f>
        <v>-0.29999999999999716</v>
      </c>
      <c r="W14" s="7">
        <f>'Normal Anchors'!W15-'Normal Anchors'!W14</f>
        <v>-0.19999999999998863</v>
      </c>
      <c r="X14" s="7">
        <f>'Normal Anchors'!X15-'Normal Anchors'!X14</f>
        <v>0</v>
      </c>
      <c r="Y14" s="7">
        <f>'Normal Anchors'!Y15-'Normal Anchors'!Y14</f>
        <v>9.9999999999994316E-2</v>
      </c>
      <c r="Z14" s="7">
        <f>'Normal Anchors'!Z15-'Normal Anchors'!Z14</f>
        <v>-0.30000000000001137</v>
      </c>
      <c r="AA14" s="7">
        <f>'Normal Anchors'!AA15-'Normal Anchors'!AA14</f>
        <v>-0.10000000000002274</v>
      </c>
      <c r="AB14" s="7">
        <f>'Normal Anchors'!AB15-'Normal Anchors'!AB14</f>
        <v>-0.30000000000001137</v>
      </c>
      <c r="AC14" s="7">
        <f>'Normal Anchors'!AC15-'Normal Anchors'!AC14</f>
        <v>-0.10000000000002274</v>
      </c>
      <c r="AD14" s="7">
        <f>'Normal Anchors'!AD15-'Normal Anchors'!AD14</f>
        <v>0</v>
      </c>
      <c r="AE14" s="7">
        <f>'Normal Anchors'!AE15-'Normal Anchors'!AE14</f>
        <v>0</v>
      </c>
      <c r="AF14" s="7">
        <f>'Normal Anchors'!AF15-'Normal Anchors'!AF14</f>
        <v>87</v>
      </c>
      <c r="AG14" s="7">
        <f>'Normal Anchors'!AG15-'Normal Anchors'!AG14</f>
        <v>-0.5</v>
      </c>
      <c r="AH14" s="7">
        <f>'Normal Anchors'!AH15-'Normal Anchors'!AH14</f>
        <v>-0.30000000000000426</v>
      </c>
    </row>
    <row r="15" spans="1:34" x14ac:dyDescent="0.25">
      <c r="A15" s="6">
        <f>'Normal Anchors'!A16</f>
        <v>45837.832638888889</v>
      </c>
      <c r="B15" s="7">
        <f>'Normal Anchors'!B16-'Normal Anchors'!B15</f>
        <v>0.40000000000000568</v>
      </c>
      <c r="C15" s="7">
        <f>'Normal Anchors'!C16-'Normal Anchors'!C15</f>
        <v>0.29999999999999716</v>
      </c>
      <c r="D15" s="7">
        <f>'Normal Anchors'!D16-'Normal Anchors'!D15</f>
        <v>0</v>
      </c>
      <c r="E15" s="7">
        <f>'Normal Anchors'!E16-'Normal Anchors'!E15</f>
        <v>0</v>
      </c>
      <c r="F15" s="7">
        <f>'Normal Anchors'!F16-'Normal Anchors'!F15</f>
        <v>0</v>
      </c>
      <c r="G15" s="7">
        <f>'Normal Anchors'!G16-'Normal Anchors'!G15</f>
        <v>0</v>
      </c>
      <c r="H15" s="7">
        <f>'Normal Anchors'!H16-'Normal Anchors'!H15</f>
        <v>0</v>
      </c>
      <c r="I15" s="7">
        <f>'Normal Anchors'!I16-'Normal Anchors'!I15</f>
        <v>0</v>
      </c>
      <c r="J15" s="7">
        <f>'Normal Anchors'!J16-'Normal Anchors'!J15</f>
        <v>0.30000000000000071</v>
      </c>
      <c r="K15" s="7">
        <f>'Normal Anchors'!K16-'Normal Anchors'!K15</f>
        <v>0.20000000000000284</v>
      </c>
      <c r="L15" s="7">
        <f>'Normal Anchors'!L16-'Normal Anchors'!L15</f>
        <v>0</v>
      </c>
      <c r="M15" s="7">
        <f>'Normal Anchors'!M16-'Normal Anchors'!M15</f>
        <v>0.30000000000000071</v>
      </c>
      <c r="N15" s="7">
        <f>'Normal Anchors'!N16-'Normal Anchors'!N15</f>
        <v>0.5</v>
      </c>
      <c r="O15" s="7">
        <f>'Normal Anchors'!O16-'Normal Anchors'!O15</f>
        <v>0</v>
      </c>
      <c r="P15" s="7">
        <f>'Normal Anchors'!P16-'Normal Anchors'!P15</f>
        <v>-1.1999999999999886</v>
      </c>
      <c r="Q15" s="7">
        <f>'Normal Anchors'!Q16-'Normal Anchors'!Q15</f>
        <v>0.5</v>
      </c>
      <c r="R15" s="7">
        <f>'Normal Anchors'!R16-'Normal Anchors'!R15</f>
        <v>0</v>
      </c>
      <c r="S15" s="7">
        <f>'Normal Anchors'!S16-'Normal Anchors'!S15</f>
        <v>0</v>
      </c>
      <c r="T15" s="7">
        <f>'Normal Anchors'!T16-'Normal Anchors'!T15</f>
        <v>-0.40000000000000568</v>
      </c>
      <c r="U15" s="7">
        <f>'Normal Anchors'!U16-'Normal Anchors'!U15</f>
        <v>0</v>
      </c>
      <c r="V15" s="7">
        <f>'Normal Anchors'!V16-'Normal Anchors'!V15</f>
        <v>-0.5</v>
      </c>
      <c r="W15" s="7">
        <f>'Normal Anchors'!W16-'Normal Anchors'!W15</f>
        <v>-9.9999999999994316E-2</v>
      </c>
      <c r="X15" s="7">
        <f>'Normal Anchors'!X16-'Normal Anchors'!X15</f>
        <v>0</v>
      </c>
      <c r="Y15" s="7">
        <f>'Normal Anchors'!Y16-'Normal Anchors'!Y15</f>
        <v>-0.40000000000000568</v>
      </c>
      <c r="Z15" s="7">
        <f>'Normal Anchors'!Z16-'Normal Anchors'!Z15</f>
        <v>-0.30000000000001137</v>
      </c>
      <c r="AA15" s="7">
        <f>'Normal Anchors'!AA16-'Normal Anchors'!AA15</f>
        <v>-0.19999999999998863</v>
      </c>
      <c r="AB15" s="7">
        <f>'Normal Anchors'!AB16-'Normal Anchors'!AB15</f>
        <v>0.10000000000002274</v>
      </c>
      <c r="AC15" s="7">
        <f>'Normal Anchors'!AC16-'Normal Anchors'!AC15</f>
        <v>-0.19999999999998863</v>
      </c>
      <c r="AD15" s="7">
        <f>'Normal Anchors'!AD16-'Normal Anchors'!AD15</f>
        <v>0</v>
      </c>
      <c r="AE15" s="7">
        <f>'Normal Anchors'!AE16-'Normal Anchors'!AE15</f>
        <v>0</v>
      </c>
      <c r="AF15" s="7">
        <f>'Normal Anchors'!AF16-'Normal Anchors'!AF15</f>
        <v>-115</v>
      </c>
      <c r="AG15" s="7">
        <f>'Normal Anchors'!AG16-'Normal Anchors'!AG15</f>
        <v>0.5</v>
      </c>
      <c r="AH15" s="7">
        <f>'Normal Anchors'!AH16-'Normal Anchors'!AH15</f>
        <v>1.1000000000000014</v>
      </c>
    </row>
    <row r="16" spans="1:34" x14ac:dyDescent="0.25">
      <c r="A16" s="6">
        <f>'Normal Anchors'!A17</f>
        <v>45837.874305555553</v>
      </c>
      <c r="B16" s="7">
        <f>'Normal Anchors'!B17-'Normal Anchors'!B16</f>
        <v>0.39999999999999147</v>
      </c>
      <c r="C16" s="7">
        <f>'Normal Anchors'!C17-'Normal Anchors'!C16</f>
        <v>0</v>
      </c>
      <c r="D16" s="7">
        <f>'Normal Anchors'!D17-'Normal Anchors'!D16</f>
        <v>9.9999999999994316E-2</v>
      </c>
      <c r="E16" s="7">
        <f>'Normal Anchors'!E17-'Normal Anchors'!E16</f>
        <v>0</v>
      </c>
      <c r="F16" s="7">
        <f>'Normal Anchors'!F17-'Normal Anchors'!F16</f>
        <v>0</v>
      </c>
      <c r="G16" s="7">
        <f>'Normal Anchors'!G17-'Normal Anchors'!G16</f>
        <v>0</v>
      </c>
      <c r="H16" s="7">
        <f>'Normal Anchors'!H17-'Normal Anchors'!H16</f>
        <v>0</v>
      </c>
      <c r="I16" s="7">
        <f>'Normal Anchors'!I17-'Normal Anchors'!I16</f>
        <v>0.90000000000000568</v>
      </c>
      <c r="J16" s="7">
        <f>'Normal Anchors'!J17-'Normal Anchors'!J16</f>
        <v>-0.60000000000000142</v>
      </c>
      <c r="K16" s="7">
        <f>'Normal Anchors'!K17-'Normal Anchors'!K16</f>
        <v>0.20000000000000284</v>
      </c>
      <c r="L16" s="7">
        <f>'Normal Anchors'!L17-'Normal Anchors'!L16</f>
        <v>0</v>
      </c>
      <c r="M16" s="7">
        <f>'Normal Anchors'!M17-'Normal Anchors'!M16</f>
        <v>-0.60000000000000142</v>
      </c>
      <c r="N16" s="7">
        <f>'Normal Anchors'!N17-'Normal Anchors'!N16</f>
        <v>-0.40000000000000568</v>
      </c>
      <c r="O16" s="7">
        <f>'Normal Anchors'!O17-'Normal Anchors'!O16</f>
        <v>1</v>
      </c>
      <c r="P16" s="7">
        <f>'Normal Anchors'!P17-'Normal Anchors'!P16</f>
        <v>1.5</v>
      </c>
      <c r="Q16" s="7">
        <f>'Normal Anchors'!Q17-'Normal Anchors'!Q16</f>
        <v>0.5</v>
      </c>
      <c r="R16" s="7">
        <f>'Normal Anchors'!R17-'Normal Anchors'!R16</f>
        <v>0</v>
      </c>
      <c r="S16" s="7">
        <f>'Normal Anchors'!S17-'Normal Anchors'!S16</f>
        <v>0.39999999999999858</v>
      </c>
      <c r="T16" s="7">
        <f>'Normal Anchors'!T17-'Normal Anchors'!T16</f>
        <v>0.40000000000000568</v>
      </c>
      <c r="U16" s="7">
        <f>'Normal Anchors'!U17-'Normal Anchors'!U16</f>
        <v>0</v>
      </c>
      <c r="V16" s="7">
        <f>'Normal Anchors'!V17-'Normal Anchors'!V16</f>
        <v>9.9999999999994316E-2</v>
      </c>
      <c r="W16" s="7">
        <f>'Normal Anchors'!W17-'Normal Anchors'!W16</f>
        <v>0</v>
      </c>
      <c r="X16" s="7">
        <f>'Normal Anchors'!X17-'Normal Anchors'!X16</f>
        <v>0</v>
      </c>
      <c r="Y16" s="7">
        <f>'Normal Anchors'!Y17-'Normal Anchors'!Y16</f>
        <v>-0.19999999999998863</v>
      </c>
      <c r="Z16" s="7">
        <f>'Normal Anchors'!Z17-'Normal Anchors'!Z16</f>
        <v>-9.9999999999994316E-2</v>
      </c>
      <c r="AA16" s="7">
        <f>'Normal Anchors'!AA17-'Normal Anchors'!AA16</f>
        <v>-9.9999999999994316E-2</v>
      </c>
      <c r="AB16" s="7">
        <f>'Normal Anchors'!AB17-'Normal Anchors'!AB16</f>
        <v>0</v>
      </c>
      <c r="AC16" s="7">
        <f>'Normal Anchors'!AC17-'Normal Anchors'!AC16</f>
        <v>0</v>
      </c>
      <c r="AD16" s="7">
        <f>'Normal Anchors'!AD17-'Normal Anchors'!AD16</f>
        <v>0</v>
      </c>
      <c r="AE16" s="7">
        <f>'Normal Anchors'!AE17-'Normal Anchors'!AE16</f>
        <v>1.0000000000000231E-2</v>
      </c>
      <c r="AF16" s="7">
        <f>'Normal Anchors'!AF17-'Normal Anchors'!AF16</f>
        <v>37</v>
      </c>
      <c r="AG16" s="7">
        <f>'Normal Anchors'!AG17-'Normal Anchors'!AG16</f>
        <v>-0.20000000000001705</v>
      </c>
      <c r="AH16" s="7">
        <f>'Normal Anchors'!AH17-'Normal Anchors'!AH16</f>
        <v>0.60000000000000142</v>
      </c>
    </row>
    <row r="17" spans="1:34" x14ac:dyDescent="0.25">
      <c r="A17" s="6">
        <f>'Normal Anchors'!A18</f>
        <v>45837.915972222218</v>
      </c>
      <c r="B17" s="7">
        <f>'Normal Anchors'!B18-'Normal Anchors'!B17</f>
        <v>-0.79999999999999716</v>
      </c>
      <c r="C17" s="7">
        <f>'Normal Anchors'!C18-'Normal Anchors'!C17</f>
        <v>0</v>
      </c>
      <c r="D17" s="7">
        <f>'Normal Anchors'!D18-'Normal Anchors'!D17</f>
        <v>-0.29999999999999716</v>
      </c>
      <c r="E17" s="7">
        <f>'Normal Anchors'!E18-'Normal Anchors'!E17</f>
        <v>0</v>
      </c>
      <c r="F17" s="7">
        <f>'Normal Anchors'!F18-'Normal Anchors'!F17</f>
        <v>0.5</v>
      </c>
      <c r="G17" s="7">
        <f>'Normal Anchors'!G18-'Normal Anchors'!G17</f>
        <v>0</v>
      </c>
      <c r="H17" s="7">
        <f>'Normal Anchors'!H18-'Normal Anchors'!H17</f>
        <v>0</v>
      </c>
      <c r="I17" s="7">
        <f>'Normal Anchors'!I18-'Normal Anchors'!I17</f>
        <v>0.39999999999999147</v>
      </c>
      <c r="J17" s="7">
        <f>'Normal Anchors'!J18-'Normal Anchors'!J17</f>
        <v>0.30000000000000071</v>
      </c>
      <c r="K17" s="7">
        <f>'Normal Anchors'!K18-'Normal Anchors'!K17</f>
        <v>-0.40000000000000568</v>
      </c>
      <c r="L17" s="7">
        <f>'Normal Anchors'!L18-'Normal Anchors'!L17</f>
        <v>9.9999999999997868E-2</v>
      </c>
      <c r="M17" s="7">
        <f>'Normal Anchors'!M18-'Normal Anchors'!M17</f>
        <v>0</v>
      </c>
      <c r="N17" s="7">
        <f>'Normal Anchors'!N18-'Normal Anchors'!N17</f>
        <v>-0.59999999999999432</v>
      </c>
      <c r="O17" s="7">
        <f>'Normal Anchors'!O18-'Normal Anchors'!O17</f>
        <v>-0.5</v>
      </c>
      <c r="P17" s="7">
        <f>'Normal Anchors'!P18-'Normal Anchors'!P17</f>
        <v>0.29999999999998295</v>
      </c>
      <c r="Q17" s="7">
        <f>'Normal Anchors'!Q18-'Normal Anchors'!Q17</f>
        <v>0</v>
      </c>
      <c r="R17" s="7">
        <f>'Normal Anchors'!R18-'Normal Anchors'!R17</f>
        <v>0</v>
      </c>
      <c r="S17" s="7">
        <f>'Normal Anchors'!S18-'Normal Anchors'!S17</f>
        <v>-0.5</v>
      </c>
      <c r="T17" s="7">
        <f>'Normal Anchors'!T18-'Normal Anchors'!T17</f>
        <v>0.5</v>
      </c>
      <c r="U17" s="7">
        <f>'Normal Anchors'!U18-'Normal Anchors'!U17</f>
        <v>0</v>
      </c>
      <c r="V17" s="7">
        <f>'Normal Anchors'!V18-'Normal Anchors'!V17</f>
        <v>-0.39999999999999147</v>
      </c>
      <c r="W17" s="7">
        <f>'Normal Anchors'!W18-'Normal Anchors'!W17</f>
        <v>-0.30000000000001137</v>
      </c>
      <c r="X17" s="7">
        <f>'Normal Anchors'!X18-'Normal Anchors'!X17</f>
        <v>0</v>
      </c>
      <c r="Y17" s="7">
        <f>'Normal Anchors'!Y18-'Normal Anchors'!Y17</f>
        <v>0</v>
      </c>
      <c r="Z17" s="7">
        <f>'Normal Anchors'!Z18-'Normal Anchors'!Z17</f>
        <v>-0.19999999999998863</v>
      </c>
      <c r="AA17" s="7">
        <f>'Normal Anchors'!AA18-'Normal Anchors'!AA17</f>
        <v>-9.9999999999994316E-2</v>
      </c>
      <c r="AB17" s="7">
        <f>'Normal Anchors'!AB18-'Normal Anchors'!AB17</f>
        <v>-0.30000000000001137</v>
      </c>
      <c r="AC17" s="7">
        <f>'Normal Anchors'!AC18-'Normal Anchors'!AC17</f>
        <v>-9.9999999999994316E-2</v>
      </c>
      <c r="AD17" s="7">
        <f>'Normal Anchors'!AD18-'Normal Anchors'!AD17</f>
        <v>0</v>
      </c>
      <c r="AE17" s="7">
        <f>'Normal Anchors'!AE18-'Normal Anchors'!AE17</f>
        <v>9.9999999999997868E-3</v>
      </c>
      <c r="AF17" s="7">
        <f>'Normal Anchors'!AF18-'Normal Anchors'!AF17</f>
        <v>-212</v>
      </c>
      <c r="AG17" s="7">
        <f>'Normal Anchors'!AG18-'Normal Anchors'!AG17</f>
        <v>-0.29999999999998295</v>
      </c>
      <c r="AH17" s="7">
        <f>'Normal Anchors'!AH18-'Normal Anchors'!AH17</f>
        <v>-0.40000000000000568</v>
      </c>
    </row>
    <row r="18" spans="1:34" x14ac:dyDescent="0.25">
      <c r="A18" s="6">
        <f>'Normal Anchors'!A19</f>
        <v>45837.957638888889</v>
      </c>
      <c r="B18" s="7">
        <f>'Normal Anchors'!B19-'Normal Anchors'!B18</f>
        <v>0.40000000000000568</v>
      </c>
      <c r="C18" s="7">
        <f>'Normal Anchors'!C19-'Normal Anchors'!C18</f>
        <v>0.10000000000000142</v>
      </c>
      <c r="D18" s="7">
        <f>'Normal Anchors'!D19-'Normal Anchors'!D18</f>
        <v>-0.20000000000000284</v>
      </c>
      <c r="E18" s="7">
        <f>'Normal Anchors'!E19-'Normal Anchors'!E18</f>
        <v>0</v>
      </c>
      <c r="F18" s="7">
        <f>'Normal Anchors'!F19-'Normal Anchors'!F18</f>
        <v>0</v>
      </c>
      <c r="G18" s="7">
        <f>'Normal Anchors'!G19-'Normal Anchors'!G18</f>
        <v>0</v>
      </c>
      <c r="H18" s="7">
        <f>'Normal Anchors'!H19-'Normal Anchors'!H18</f>
        <v>0</v>
      </c>
      <c r="I18" s="7">
        <f>'Normal Anchors'!I19-'Normal Anchors'!I18</f>
        <v>-0.5</v>
      </c>
      <c r="J18" s="7">
        <f>'Normal Anchors'!J19-'Normal Anchors'!J18</f>
        <v>-0.30000000000000071</v>
      </c>
      <c r="K18" s="7">
        <f>'Normal Anchors'!K19-'Normal Anchors'!K18</f>
        <v>0.20000000000000284</v>
      </c>
      <c r="L18" s="7">
        <f>'Normal Anchors'!L19-'Normal Anchors'!L18</f>
        <v>0.10000000000000142</v>
      </c>
      <c r="M18" s="7">
        <f>'Normal Anchors'!M19-'Normal Anchors'!M18</f>
        <v>-0.30000000000000071</v>
      </c>
      <c r="N18" s="7">
        <f>'Normal Anchors'!N19-'Normal Anchors'!N18</f>
        <v>-0.59999999999999432</v>
      </c>
      <c r="O18" s="7">
        <f>'Normal Anchors'!O19-'Normal Anchors'!O18</f>
        <v>-0.5</v>
      </c>
      <c r="P18" s="7">
        <f>'Normal Anchors'!P19-'Normal Anchors'!P18</f>
        <v>0.20000000000001705</v>
      </c>
      <c r="Q18" s="7">
        <f>'Normal Anchors'!Q19-'Normal Anchors'!Q18</f>
        <v>0</v>
      </c>
      <c r="R18" s="7">
        <f>'Normal Anchors'!R19-'Normal Anchors'!R18</f>
        <v>0</v>
      </c>
      <c r="S18" s="7">
        <f>'Normal Anchors'!S19-'Normal Anchors'!S18</f>
        <v>-9.9999999999997868E-2</v>
      </c>
      <c r="T18" s="7">
        <f>'Normal Anchors'!T19-'Normal Anchors'!T18</f>
        <v>0.39999999999997726</v>
      </c>
      <c r="U18" s="7">
        <f>'Normal Anchors'!U19-'Normal Anchors'!U18</f>
        <v>0</v>
      </c>
      <c r="V18" s="7">
        <f>'Normal Anchors'!V19-'Normal Anchors'!V18</f>
        <v>0</v>
      </c>
      <c r="W18" s="7">
        <f>'Normal Anchors'!W19-'Normal Anchors'!W18</f>
        <v>0.40000000000000568</v>
      </c>
      <c r="X18" s="7">
        <f>'Normal Anchors'!X19-'Normal Anchors'!X18</f>
        <v>0</v>
      </c>
      <c r="Y18" s="7">
        <f>'Normal Anchors'!Y19-'Normal Anchors'!Y18</f>
        <v>0</v>
      </c>
      <c r="Z18" s="7">
        <f>'Normal Anchors'!Z19-'Normal Anchors'!Z18</f>
        <v>0.19999999999998863</v>
      </c>
      <c r="AA18" s="7">
        <f>'Normal Anchors'!AA19-'Normal Anchors'!AA18</f>
        <v>0.19999999999998863</v>
      </c>
      <c r="AB18" s="7">
        <f>'Normal Anchors'!AB19-'Normal Anchors'!AB18</f>
        <v>0.5</v>
      </c>
      <c r="AC18" s="7">
        <f>'Normal Anchors'!AC19-'Normal Anchors'!AC18</f>
        <v>0</v>
      </c>
      <c r="AD18" s="7">
        <f>'Normal Anchors'!AD19-'Normal Anchors'!AD18</f>
        <v>0</v>
      </c>
      <c r="AE18" s="7">
        <f>'Normal Anchors'!AE19-'Normal Anchors'!AE18</f>
        <v>0</v>
      </c>
      <c r="AF18" s="7">
        <f>'Normal Anchors'!AF19-'Normal Anchors'!AF18</f>
        <v>195</v>
      </c>
      <c r="AG18" s="7">
        <f>'Normal Anchors'!AG19-'Normal Anchors'!AG18</f>
        <v>0.29999999999998295</v>
      </c>
      <c r="AH18" s="7">
        <f>'Normal Anchors'!AH19-'Normal Anchors'!AH18</f>
        <v>0.30000000000001137</v>
      </c>
    </row>
    <row r="19" spans="1:34" x14ac:dyDescent="0.25">
      <c r="A19" s="6">
        <f>'Normal Anchors'!A20</f>
        <v>45837.999305555553</v>
      </c>
      <c r="B19" s="7">
        <f>'Normal Anchors'!B20-'Normal Anchors'!B19</f>
        <v>-0.10000000000000853</v>
      </c>
      <c r="C19" s="7">
        <f>'Normal Anchors'!C20-'Normal Anchors'!C19</f>
        <v>0.10000000000000142</v>
      </c>
      <c r="D19" s="7">
        <f>'Normal Anchors'!D20-'Normal Anchors'!D19</f>
        <v>0.30000000000000426</v>
      </c>
      <c r="E19" s="7">
        <f>'Normal Anchors'!E20-'Normal Anchors'!E19</f>
        <v>0</v>
      </c>
      <c r="F19" s="7">
        <f>'Normal Anchors'!F20-'Normal Anchors'!F19</f>
        <v>0</v>
      </c>
      <c r="G19" s="7">
        <f>'Normal Anchors'!G20-'Normal Anchors'!G19</f>
        <v>0</v>
      </c>
      <c r="H19" s="7">
        <f>'Normal Anchors'!H20-'Normal Anchors'!H19</f>
        <v>0</v>
      </c>
      <c r="I19" s="7">
        <f>'Normal Anchors'!I20-'Normal Anchors'!I19</f>
        <v>0</v>
      </c>
      <c r="J19" s="7">
        <f>'Normal Anchors'!J20-'Normal Anchors'!J19</f>
        <v>-0.30000000000000071</v>
      </c>
      <c r="K19" s="7">
        <f>'Normal Anchors'!K20-'Normal Anchors'!K19</f>
        <v>-0.10000000000000142</v>
      </c>
      <c r="L19" s="7">
        <f>'Normal Anchors'!L20-'Normal Anchors'!L19</f>
        <v>-0.10000000000000142</v>
      </c>
      <c r="M19" s="7">
        <f>'Normal Anchors'!M20-'Normal Anchors'!M19</f>
        <v>-0.30000000000000071</v>
      </c>
      <c r="N19" s="7">
        <f>'Normal Anchors'!N20-'Normal Anchors'!N19</f>
        <v>0</v>
      </c>
      <c r="O19" s="7">
        <f>'Normal Anchors'!O20-'Normal Anchors'!O19</f>
        <v>0</v>
      </c>
      <c r="P19" s="7">
        <f>'Normal Anchors'!P20-'Normal Anchors'!P19</f>
        <v>0.19999999999998863</v>
      </c>
      <c r="Q19" s="7">
        <f>'Normal Anchors'!Q20-'Normal Anchors'!Q19</f>
        <v>-1</v>
      </c>
      <c r="R19" s="7">
        <f>'Normal Anchors'!R20-'Normal Anchors'!R19</f>
        <v>0</v>
      </c>
      <c r="S19" s="7">
        <f>'Normal Anchors'!S20-'Normal Anchors'!S19</f>
        <v>9.9999999999997868E-2</v>
      </c>
      <c r="T19" s="7">
        <f>'Normal Anchors'!T20-'Normal Anchors'!T19</f>
        <v>-0.39999999999997726</v>
      </c>
      <c r="U19" s="7">
        <f>'Normal Anchors'!U20-'Normal Anchors'!U19</f>
        <v>0</v>
      </c>
      <c r="V19" s="7">
        <f>'Normal Anchors'!V20-'Normal Anchors'!V19</f>
        <v>9.9999999999994316E-2</v>
      </c>
      <c r="W19" s="7">
        <f>'Normal Anchors'!W20-'Normal Anchors'!W19</f>
        <v>0</v>
      </c>
      <c r="X19" s="7">
        <f>'Normal Anchors'!X20-'Normal Anchors'!X19</f>
        <v>0</v>
      </c>
      <c r="Y19" s="7">
        <f>'Normal Anchors'!Y20-'Normal Anchors'!Y19</f>
        <v>-9.9999999999994316E-2</v>
      </c>
      <c r="Z19" s="7">
        <f>'Normal Anchors'!Z20-'Normal Anchors'!Z19</f>
        <v>0.20000000000001705</v>
      </c>
      <c r="AA19" s="7">
        <f>'Normal Anchors'!AA20-'Normal Anchors'!AA19</f>
        <v>0</v>
      </c>
      <c r="AB19" s="7">
        <f>'Normal Anchors'!AB20-'Normal Anchors'!AB19</f>
        <v>0</v>
      </c>
      <c r="AC19" s="7">
        <f>'Normal Anchors'!AC20-'Normal Anchors'!AC19</f>
        <v>0</v>
      </c>
      <c r="AD19" s="7">
        <f>'Normal Anchors'!AD20-'Normal Anchors'!AD19</f>
        <v>0</v>
      </c>
      <c r="AE19" s="7">
        <f>'Normal Anchors'!AE20-'Normal Anchors'!AE19</f>
        <v>0</v>
      </c>
      <c r="AF19" s="7">
        <f>'Normal Anchors'!AF20-'Normal Anchors'!AF19</f>
        <v>-146</v>
      </c>
      <c r="AG19" s="7">
        <f>'Normal Anchors'!AG20-'Normal Anchors'!AG19</f>
        <v>0.20000000000001705</v>
      </c>
      <c r="AH19" s="7">
        <f>'Normal Anchors'!AH20-'Normal Anchors'!AH19</f>
        <v>0.29999999999999716</v>
      </c>
    </row>
    <row r="20" spans="1:34" x14ac:dyDescent="0.25">
      <c r="A20" s="6">
        <f>'Normal Anchors'!A21</f>
        <v>45838.040972222218</v>
      </c>
      <c r="B20" s="7">
        <f>'Normal Anchors'!B21-'Normal Anchors'!B20</f>
        <v>0</v>
      </c>
      <c r="C20" s="7">
        <f>'Normal Anchors'!C21-'Normal Anchors'!C20</f>
        <v>0.19999999999999574</v>
      </c>
      <c r="D20" s="7">
        <f>'Normal Anchors'!D21-'Normal Anchors'!D20</f>
        <v>-0.10000000000000142</v>
      </c>
      <c r="E20" s="7">
        <f>'Normal Anchors'!E21-'Normal Anchors'!E20</f>
        <v>0</v>
      </c>
      <c r="F20" s="7">
        <f>'Normal Anchors'!F21-'Normal Anchors'!F20</f>
        <v>0</v>
      </c>
      <c r="G20" s="7">
        <f>'Normal Anchors'!G21-'Normal Anchors'!G20</f>
        <v>0</v>
      </c>
      <c r="H20" s="7">
        <f>'Normal Anchors'!H21-'Normal Anchors'!H20</f>
        <v>0</v>
      </c>
      <c r="I20" s="7">
        <f>'Normal Anchors'!I21-'Normal Anchors'!I20</f>
        <v>-1.0999999999999943</v>
      </c>
      <c r="J20" s="7">
        <f>'Normal Anchors'!J21-'Normal Anchors'!J20</f>
        <v>0</v>
      </c>
      <c r="K20" s="7">
        <f>'Normal Anchors'!K21-'Normal Anchors'!K20</f>
        <v>0</v>
      </c>
      <c r="L20" s="7">
        <f>'Normal Anchors'!L21-'Normal Anchors'!L20</f>
        <v>0</v>
      </c>
      <c r="M20" s="7">
        <f>'Normal Anchors'!M21-'Normal Anchors'!M20</f>
        <v>0</v>
      </c>
      <c r="N20" s="7">
        <f>'Normal Anchors'!N21-'Normal Anchors'!N20</f>
        <v>-0.5</v>
      </c>
      <c r="O20" s="7">
        <f>'Normal Anchors'!O21-'Normal Anchors'!O20</f>
        <v>-1</v>
      </c>
      <c r="P20" s="7">
        <f>'Normal Anchors'!P21-'Normal Anchors'!P20</f>
        <v>0.40000000000000568</v>
      </c>
      <c r="Q20" s="7">
        <f>'Normal Anchors'!Q21-'Normal Anchors'!Q20</f>
        <v>0</v>
      </c>
      <c r="R20" s="7">
        <f>'Normal Anchors'!R21-'Normal Anchors'!R20</f>
        <v>-1</v>
      </c>
      <c r="S20" s="7">
        <f>'Normal Anchors'!S21-'Normal Anchors'!S20</f>
        <v>0.90000000000000213</v>
      </c>
      <c r="T20" s="7">
        <f>'Normal Anchors'!T21-'Normal Anchors'!T20</f>
        <v>0.39999999999997726</v>
      </c>
      <c r="U20" s="7">
        <f>'Normal Anchors'!U21-'Normal Anchors'!U20</f>
        <v>0</v>
      </c>
      <c r="V20" s="7">
        <f>'Normal Anchors'!V21-'Normal Anchors'!V20</f>
        <v>-9.9999999999994316E-2</v>
      </c>
      <c r="W20" s="7">
        <f>'Normal Anchors'!W21-'Normal Anchors'!W20</f>
        <v>0</v>
      </c>
      <c r="X20" s="7">
        <f>'Normal Anchors'!X21-'Normal Anchors'!X20</f>
        <v>0</v>
      </c>
      <c r="Y20" s="7">
        <f>'Normal Anchors'!Y21-'Normal Anchors'!Y20</f>
        <v>0</v>
      </c>
      <c r="Z20" s="7">
        <f>'Normal Anchors'!Z21-'Normal Anchors'!Z20</f>
        <v>-0.10000000000002274</v>
      </c>
      <c r="AA20" s="7">
        <f>'Normal Anchors'!AA21-'Normal Anchors'!AA20</f>
        <v>0</v>
      </c>
      <c r="AB20" s="7">
        <f>'Normal Anchors'!AB21-'Normal Anchors'!AB20</f>
        <v>0</v>
      </c>
      <c r="AC20" s="7">
        <f>'Normal Anchors'!AC21-'Normal Anchors'!AC20</f>
        <v>-9.9999999999994316E-2</v>
      </c>
      <c r="AD20" s="7">
        <f>'Normal Anchors'!AD21-'Normal Anchors'!AD20</f>
        <v>0</v>
      </c>
      <c r="AE20" s="7">
        <f>'Normal Anchors'!AE21-'Normal Anchors'!AE20</f>
        <v>9.9999999999997868E-3</v>
      </c>
      <c r="AF20" s="7">
        <f>'Normal Anchors'!AF21-'Normal Anchors'!AF20</f>
        <v>24</v>
      </c>
      <c r="AG20" s="7">
        <f>'Normal Anchors'!AG21-'Normal Anchors'!AG20</f>
        <v>-9.9999999999994316E-2</v>
      </c>
      <c r="AH20" s="7">
        <f>'Normal Anchors'!AH21-'Normal Anchors'!AH20</f>
        <v>-0.20000000000000284</v>
      </c>
    </row>
  </sheetData>
  <mergeCells count="2">
    <mergeCell ref="A2:AH2"/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3" width="12" customWidth="1"/>
    <col min="4" max="9" width="11" customWidth="1"/>
    <col min="10" max="10" width="12" customWidth="1"/>
    <col min="11" max="15" width="11" customWidth="1"/>
    <col min="16" max="18" width="12" customWidth="1"/>
    <col min="19" max="27" width="11" customWidth="1"/>
    <col min="28" max="28" width="13" customWidth="1"/>
    <col min="29" max="30" width="12" customWidth="1"/>
    <col min="31" max="31" width="11" customWidth="1"/>
    <col min="32" max="32" width="12" customWidth="1"/>
    <col min="33" max="33" width="11" customWidth="1"/>
    <col min="34" max="34" width="12" customWidth="1"/>
    <col min="35" max="36" width="11" customWidth="1"/>
  </cols>
  <sheetData>
    <row r="1" spans="1:36" ht="23.1" customHeight="1" x14ac:dyDescent="0.25">
      <c r="A1" s="9" t="s">
        <v>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x14ac:dyDescent="0.25">
      <c r="A2" s="11" t="s">
        <v>37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4" spans="1:36" ht="25.5" x14ac:dyDescent="0.25">
      <c r="A4" s="1" t="s">
        <v>38</v>
      </c>
      <c r="B4" s="1" t="s">
        <v>39</v>
      </c>
      <c r="C4" s="1" t="s">
        <v>57</v>
      </c>
      <c r="D4" s="1" t="s">
        <v>58</v>
      </c>
      <c r="E4" s="1" t="s">
        <v>69</v>
      </c>
      <c r="F4" s="1" t="s">
        <v>59</v>
      </c>
      <c r="G4" s="1" t="s">
        <v>61</v>
      </c>
      <c r="H4" s="1" t="s">
        <v>75</v>
      </c>
      <c r="I4" s="1" t="s">
        <v>47</v>
      </c>
      <c r="J4" s="1" t="s">
        <v>46</v>
      </c>
      <c r="K4" s="1" t="s">
        <v>50</v>
      </c>
      <c r="L4" s="1" t="s">
        <v>51</v>
      </c>
      <c r="M4" s="1" t="s">
        <v>42</v>
      </c>
      <c r="N4" s="1" t="s">
        <v>53</v>
      </c>
      <c r="O4" s="1" t="s">
        <v>54</v>
      </c>
      <c r="P4" s="1" t="s">
        <v>43</v>
      </c>
      <c r="Q4" s="1" t="s">
        <v>55</v>
      </c>
      <c r="R4" s="1" t="s">
        <v>56</v>
      </c>
      <c r="S4" s="1" t="s">
        <v>76</v>
      </c>
      <c r="T4" s="1" t="s">
        <v>62</v>
      </c>
      <c r="U4" s="1" t="s">
        <v>63</v>
      </c>
      <c r="V4" s="1" t="s">
        <v>64</v>
      </c>
      <c r="W4" s="1" t="s">
        <v>60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77</v>
      </c>
      <c r="AC4" s="1" t="s">
        <v>40</v>
      </c>
      <c r="AD4" s="1" t="s">
        <v>78</v>
      </c>
      <c r="AE4" s="1" t="s">
        <v>41</v>
      </c>
      <c r="AF4" s="1" t="s">
        <v>45</v>
      </c>
      <c r="AG4" s="1" t="s">
        <v>71</v>
      </c>
      <c r="AH4" s="1" t="s">
        <v>79</v>
      </c>
      <c r="AI4" s="1" t="s">
        <v>80</v>
      </c>
      <c r="AJ4" s="1" t="s">
        <v>81</v>
      </c>
    </row>
    <row r="5" spans="1:36" x14ac:dyDescent="0.25">
      <c r="A5" s="6">
        <v>45836.417361111111</v>
      </c>
      <c r="B5" s="2">
        <v>0</v>
      </c>
      <c r="C5" s="2">
        <v>102.7</v>
      </c>
      <c r="D5" s="2">
        <v>64.900000000000006</v>
      </c>
      <c r="E5" s="2">
        <v>0</v>
      </c>
      <c r="F5" s="2">
        <v>101.4</v>
      </c>
      <c r="G5" s="2">
        <v>152.1</v>
      </c>
      <c r="H5" s="2">
        <v>0</v>
      </c>
      <c r="I5" s="2">
        <v>24.1</v>
      </c>
      <c r="J5" s="2">
        <v>-0.2</v>
      </c>
      <c r="K5" s="2">
        <v>22.5</v>
      </c>
      <c r="L5" s="2">
        <v>110.1</v>
      </c>
      <c r="M5" s="2">
        <v>0</v>
      </c>
      <c r="N5" s="2">
        <v>3.3</v>
      </c>
      <c r="O5" s="2">
        <v>134.1</v>
      </c>
      <c r="P5" s="2">
        <v>100</v>
      </c>
      <c r="Q5" s="2">
        <v>124.6</v>
      </c>
      <c r="R5" s="2">
        <v>0.2</v>
      </c>
      <c r="S5" s="2">
        <v>24.4</v>
      </c>
      <c r="T5" s="2">
        <v>142.1</v>
      </c>
      <c r="U5" s="2">
        <v>147.30000000000001</v>
      </c>
      <c r="V5" s="2">
        <v>146.19999999999999</v>
      </c>
      <c r="W5" s="2">
        <v>147.1</v>
      </c>
      <c r="X5" s="2">
        <v>155.9</v>
      </c>
      <c r="Y5" s="2">
        <v>154.80000000000001</v>
      </c>
      <c r="Z5" s="2">
        <v>114.9</v>
      </c>
      <c r="AA5" s="2">
        <v>3.71</v>
      </c>
      <c r="AB5" s="2">
        <v>0.03</v>
      </c>
      <c r="AC5" s="2">
        <v>0</v>
      </c>
      <c r="AD5" s="2">
        <v>0.2</v>
      </c>
      <c r="AE5" s="2">
        <v>0</v>
      </c>
      <c r="AF5" s="2">
        <v>13.1</v>
      </c>
      <c r="AG5" s="2">
        <v>51.5</v>
      </c>
      <c r="AH5" s="2">
        <v>100</v>
      </c>
      <c r="AI5" s="2">
        <v>0.06</v>
      </c>
      <c r="AJ5" s="2">
        <v>21.9</v>
      </c>
    </row>
    <row r="6" spans="1:36" x14ac:dyDescent="0.25">
      <c r="A6" s="6">
        <v>45836.459027777782</v>
      </c>
      <c r="B6" s="2">
        <v>60.7</v>
      </c>
      <c r="C6" s="2">
        <v>112.9</v>
      </c>
      <c r="D6" s="2">
        <v>35</v>
      </c>
      <c r="E6" s="2">
        <v>17501</v>
      </c>
      <c r="F6" s="2">
        <v>105.2</v>
      </c>
      <c r="G6" s="2">
        <v>185.5</v>
      </c>
      <c r="H6" s="2">
        <v>37.35</v>
      </c>
      <c r="I6" s="2">
        <v>24.2</v>
      </c>
      <c r="J6" s="2">
        <v>108</v>
      </c>
      <c r="K6" s="2">
        <v>22.3</v>
      </c>
      <c r="L6" s="2">
        <v>133.80000000000001</v>
      </c>
      <c r="M6" s="2">
        <v>40</v>
      </c>
      <c r="N6" s="2">
        <v>104.1</v>
      </c>
      <c r="O6" s="2">
        <v>147.19999999999999</v>
      </c>
      <c r="P6" s="2">
        <v>50</v>
      </c>
      <c r="Q6" s="2">
        <v>109.6</v>
      </c>
      <c r="R6" s="2">
        <v>18.5</v>
      </c>
      <c r="S6" s="2">
        <v>30.9</v>
      </c>
      <c r="T6" s="2">
        <v>164.8</v>
      </c>
      <c r="U6" s="2">
        <v>167.2</v>
      </c>
      <c r="V6" s="2">
        <v>167.8</v>
      </c>
      <c r="W6" s="2">
        <v>169.2</v>
      </c>
      <c r="X6" s="2">
        <v>174.1</v>
      </c>
      <c r="Y6" s="2">
        <v>177.9</v>
      </c>
      <c r="Z6" s="2">
        <v>99.3</v>
      </c>
      <c r="AA6" s="2">
        <v>3.77</v>
      </c>
      <c r="AB6" s="2">
        <v>9.5500000000000007</v>
      </c>
      <c r="AC6" s="2">
        <v>0</v>
      </c>
      <c r="AD6" s="2">
        <v>57</v>
      </c>
      <c r="AE6" s="2">
        <v>0</v>
      </c>
      <c r="AF6" s="2">
        <v>12.8</v>
      </c>
      <c r="AG6" s="2">
        <v>35</v>
      </c>
      <c r="AH6" s="2">
        <v>100</v>
      </c>
      <c r="AI6" s="2">
        <v>1.04</v>
      </c>
      <c r="AJ6" s="2">
        <v>21.9</v>
      </c>
    </row>
    <row r="7" spans="1:36" x14ac:dyDescent="0.25">
      <c r="A7" s="6">
        <v>45836.500694444447</v>
      </c>
      <c r="B7" s="2">
        <v>65.3</v>
      </c>
      <c r="C7" s="2">
        <v>134.5</v>
      </c>
      <c r="D7" s="2">
        <v>27</v>
      </c>
      <c r="E7" s="2">
        <v>18735</v>
      </c>
      <c r="F7" s="2">
        <v>109.7</v>
      </c>
      <c r="G7" s="2">
        <v>182.1</v>
      </c>
      <c r="H7" s="2">
        <v>37.53</v>
      </c>
      <c r="I7" s="2">
        <v>29.3</v>
      </c>
      <c r="J7" s="2">
        <v>110.1</v>
      </c>
      <c r="K7" s="2">
        <v>30.9</v>
      </c>
      <c r="L7" s="2">
        <v>115.4</v>
      </c>
      <c r="M7" s="2">
        <v>40</v>
      </c>
      <c r="N7" s="2">
        <v>130</v>
      </c>
      <c r="O7" s="2">
        <v>119.3</v>
      </c>
      <c r="P7" s="2">
        <v>60</v>
      </c>
      <c r="Q7" s="2">
        <v>105</v>
      </c>
      <c r="R7" s="2">
        <v>13.3</v>
      </c>
      <c r="S7" s="2">
        <v>30.5</v>
      </c>
      <c r="T7" s="2">
        <v>167.2</v>
      </c>
      <c r="U7" s="2">
        <v>167.4</v>
      </c>
      <c r="V7" s="2">
        <v>168.3</v>
      </c>
      <c r="W7" s="2">
        <v>171.8</v>
      </c>
      <c r="X7" s="2">
        <v>174</v>
      </c>
      <c r="Y7" s="2">
        <v>179</v>
      </c>
      <c r="Z7" s="2">
        <v>173</v>
      </c>
      <c r="AA7" s="2">
        <v>3.5</v>
      </c>
      <c r="AB7" s="2">
        <v>72.25</v>
      </c>
      <c r="AC7" s="2">
        <v>29.6</v>
      </c>
      <c r="AD7" s="2">
        <v>67</v>
      </c>
      <c r="AE7" s="2">
        <v>17.600000000000001</v>
      </c>
      <c r="AF7" s="2">
        <v>14.2</v>
      </c>
      <c r="AG7" s="2">
        <v>53.3</v>
      </c>
      <c r="AH7" s="2">
        <v>0</v>
      </c>
      <c r="AI7" s="2">
        <v>2.27</v>
      </c>
      <c r="AJ7" s="2">
        <v>21.5</v>
      </c>
    </row>
    <row r="8" spans="1:36" x14ac:dyDescent="0.25">
      <c r="A8" s="6">
        <v>45836.542361111111</v>
      </c>
      <c r="B8" s="2">
        <v>80.8</v>
      </c>
      <c r="C8" s="2">
        <v>144.1</v>
      </c>
      <c r="D8" s="2">
        <v>19</v>
      </c>
      <c r="E8" s="2">
        <v>23013</v>
      </c>
      <c r="F8" s="2">
        <v>114.2</v>
      </c>
      <c r="G8" s="2">
        <v>186.4</v>
      </c>
      <c r="H8" s="2">
        <v>32.97</v>
      </c>
      <c r="I8" s="2">
        <v>29.7</v>
      </c>
      <c r="J8" s="2">
        <v>96.4</v>
      </c>
      <c r="K8" s="2">
        <v>31.2</v>
      </c>
      <c r="L8" s="2">
        <v>122.3</v>
      </c>
      <c r="M8" s="2">
        <v>40</v>
      </c>
      <c r="N8" s="2">
        <v>137.80000000000001</v>
      </c>
      <c r="O8" s="2">
        <v>115.9</v>
      </c>
      <c r="P8" s="2">
        <v>80</v>
      </c>
      <c r="Q8" s="2">
        <v>100.4</v>
      </c>
      <c r="R8" s="2">
        <v>14.8</v>
      </c>
      <c r="S8" s="2">
        <v>30.4</v>
      </c>
      <c r="T8" s="2">
        <v>169.9</v>
      </c>
      <c r="U8" s="2">
        <v>173.3</v>
      </c>
      <c r="V8" s="2">
        <v>175.3</v>
      </c>
      <c r="W8" s="2">
        <v>178.6</v>
      </c>
      <c r="X8" s="2">
        <v>179.6</v>
      </c>
      <c r="Y8" s="2">
        <v>182.4</v>
      </c>
      <c r="Z8" s="2">
        <v>181.1</v>
      </c>
      <c r="AA8" s="2">
        <v>3.14</v>
      </c>
      <c r="AB8" s="2">
        <v>83.66</v>
      </c>
      <c r="AC8" s="2">
        <v>39.5</v>
      </c>
      <c r="AD8" s="2">
        <v>63.7</v>
      </c>
      <c r="AE8" s="2">
        <v>37.1</v>
      </c>
      <c r="AF8" s="2">
        <v>17.399999999999999</v>
      </c>
      <c r="AG8" s="2">
        <v>68.7</v>
      </c>
      <c r="AH8" s="2">
        <v>0</v>
      </c>
      <c r="AI8" s="2">
        <v>4.75</v>
      </c>
      <c r="AJ8" s="2">
        <v>22</v>
      </c>
    </row>
    <row r="9" spans="1:36" x14ac:dyDescent="0.25">
      <c r="A9" s="6">
        <v>45836.584027777782</v>
      </c>
      <c r="B9" s="2">
        <v>92.2</v>
      </c>
      <c r="C9" s="2">
        <v>145.30000000000001</v>
      </c>
      <c r="D9" s="2">
        <v>5</v>
      </c>
      <c r="E9" s="2">
        <v>26114</v>
      </c>
      <c r="F9" s="2">
        <v>115</v>
      </c>
      <c r="G9" s="2">
        <v>186.9</v>
      </c>
      <c r="H9" s="2">
        <v>40.47</v>
      </c>
      <c r="I9" s="2">
        <v>29</v>
      </c>
      <c r="J9" s="2">
        <v>119.7</v>
      </c>
      <c r="K9" s="2">
        <v>30.9</v>
      </c>
      <c r="L9" s="2">
        <v>132.9</v>
      </c>
      <c r="M9" s="2">
        <v>50</v>
      </c>
      <c r="N9" s="2">
        <v>139.6</v>
      </c>
      <c r="O9" s="2">
        <v>135</v>
      </c>
      <c r="P9" s="2">
        <v>85</v>
      </c>
      <c r="Q9" s="2">
        <v>90.1</v>
      </c>
      <c r="R9" s="2">
        <v>19.600000000000001</v>
      </c>
      <c r="S9" s="2">
        <v>33.299999999999997</v>
      </c>
      <c r="T9" s="2">
        <v>170.5</v>
      </c>
      <c r="U9" s="2">
        <v>173.9</v>
      </c>
      <c r="V9" s="2">
        <v>177</v>
      </c>
      <c r="W9" s="2">
        <v>181.1</v>
      </c>
      <c r="X9" s="2">
        <v>183</v>
      </c>
      <c r="Y9" s="2">
        <v>185.1</v>
      </c>
      <c r="Z9" s="2">
        <v>183.5</v>
      </c>
      <c r="AA9" s="2">
        <v>3.02</v>
      </c>
      <c r="AB9" s="2">
        <v>99.73</v>
      </c>
      <c r="AC9" s="2">
        <v>44.5</v>
      </c>
      <c r="AD9" s="2">
        <v>67.5</v>
      </c>
      <c r="AE9" s="2">
        <v>42.8</v>
      </c>
      <c r="AF9" s="2">
        <v>18</v>
      </c>
      <c r="AG9" s="2">
        <v>60.1</v>
      </c>
      <c r="AH9" s="2">
        <v>0</v>
      </c>
      <c r="AI9" s="2">
        <v>5.29</v>
      </c>
      <c r="AJ9" s="2">
        <v>21.9</v>
      </c>
    </row>
    <row r="10" spans="1:36" x14ac:dyDescent="0.25">
      <c r="A10" s="6">
        <v>45836.625694444447</v>
      </c>
      <c r="B10" s="2">
        <v>93.9</v>
      </c>
      <c r="C10" s="2">
        <v>142.5</v>
      </c>
      <c r="D10" s="2">
        <v>0</v>
      </c>
      <c r="E10" s="2">
        <v>26595</v>
      </c>
      <c r="F10" s="2">
        <v>114.6</v>
      </c>
      <c r="G10" s="2">
        <v>186.9</v>
      </c>
      <c r="H10" s="2">
        <v>41.98</v>
      </c>
      <c r="I10" s="2">
        <v>28.8</v>
      </c>
      <c r="J10" s="2">
        <v>123.4</v>
      </c>
      <c r="K10" s="2">
        <v>30.4</v>
      </c>
      <c r="L10" s="2">
        <v>123.4</v>
      </c>
      <c r="M10" s="2">
        <v>63</v>
      </c>
      <c r="N10" s="2">
        <v>136.4</v>
      </c>
      <c r="O10" s="2">
        <v>132.30000000000001</v>
      </c>
      <c r="P10" s="2">
        <v>83</v>
      </c>
      <c r="Q10" s="2">
        <v>90</v>
      </c>
      <c r="R10" s="2">
        <v>21.4</v>
      </c>
      <c r="S10" s="2">
        <v>33.6</v>
      </c>
      <c r="T10" s="2">
        <v>170.6</v>
      </c>
      <c r="U10" s="2">
        <v>173.1</v>
      </c>
      <c r="V10" s="2">
        <v>176.6</v>
      </c>
      <c r="W10" s="2">
        <v>181.3</v>
      </c>
      <c r="X10" s="2">
        <v>183.5</v>
      </c>
      <c r="Y10" s="2">
        <v>185.5</v>
      </c>
      <c r="Z10" s="2">
        <v>184</v>
      </c>
      <c r="AA10" s="2">
        <v>3.08</v>
      </c>
      <c r="AB10" s="2">
        <v>99.94</v>
      </c>
      <c r="AC10" s="2">
        <v>46</v>
      </c>
      <c r="AD10" s="2">
        <v>61.1</v>
      </c>
      <c r="AE10" s="2">
        <v>42</v>
      </c>
      <c r="AF10" s="2">
        <v>18.399999999999999</v>
      </c>
      <c r="AG10" s="2">
        <v>55.8</v>
      </c>
      <c r="AH10" s="2">
        <v>0</v>
      </c>
      <c r="AI10" s="2">
        <v>4.1900000000000004</v>
      </c>
      <c r="AJ10" s="2">
        <v>22</v>
      </c>
    </row>
    <row r="11" spans="1:36" x14ac:dyDescent="0.25">
      <c r="A11" s="6">
        <v>45836.667361111111</v>
      </c>
      <c r="B11" s="2">
        <v>97</v>
      </c>
      <c r="C11" s="2">
        <v>141.69999999999999</v>
      </c>
      <c r="D11" s="2">
        <v>0</v>
      </c>
      <c r="E11" s="2">
        <v>27419</v>
      </c>
      <c r="F11" s="2">
        <v>113.7</v>
      </c>
      <c r="G11" s="2">
        <v>186.9</v>
      </c>
      <c r="H11" s="2">
        <v>43.47</v>
      </c>
      <c r="I11" s="2">
        <v>24.7</v>
      </c>
      <c r="J11" s="2">
        <v>126.8</v>
      </c>
      <c r="K11" s="2">
        <v>26.3</v>
      </c>
      <c r="L11" s="2">
        <v>117.1</v>
      </c>
      <c r="M11" s="2">
        <v>60</v>
      </c>
      <c r="N11" s="2">
        <v>135.69999999999999</v>
      </c>
      <c r="O11" s="2">
        <v>142.4</v>
      </c>
      <c r="P11" s="2">
        <v>80</v>
      </c>
      <c r="Q11" s="2">
        <v>88.1</v>
      </c>
      <c r="R11" s="2">
        <v>15.1</v>
      </c>
      <c r="S11" s="2">
        <v>32</v>
      </c>
      <c r="T11" s="2">
        <v>170.1</v>
      </c>
      <c r="U11" s="2">
        <v>171.7</v>
      </c>
      <c r="V11" s="2">
        <v>174.5</v>
      </c>
      <c r="W11" s="2">
        <v>179.5</v>
      </c>
      <c r="X11" s="2">
        <v>182.3</v>
      </c>
      <c r="Y11" s="2">
        <v>184.1</v>
      </c>
      <c r="Z11" s="2">
        <v>182.5</v>
      </c>
      <c r="AA11" s="2">
        <v>3.14</v>
      </c>
      <c r="AB11" s="2">
        <v>99.94</v>
      </c>
      <c r="AC11" s="2">
        <v>49</v>
      </c>
      <c r="AD11" s="2">
        <v>73.2</v>
      </c>
      <c r="AE11" s="2">
        <v>45.4</v>
      </c>
      <c r="AF11" s="2">
        <v>18.7</v>
      </c>
      <c r="AG11" s="2">
        <v>61.6</v>
      </c>
      <c r="AH11" s="2">
        <v>0</v>
      </c>
      <c r="AI11" s="2">
        <v>5.01</v>
      </c>
      <c r="AJ11" s="2">
        <v>21.9</v>
      </c>
    </row>
  </sheetData>
  <autoFilter ref="A4:AJ11" xr:uid="{00000000-0009-0000-0000-000003000000}"/>
  <mergeCells count="2">
    <mergeCell ref="A2:AJ2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6" width="24" customWidth="1"/>
  </cols>
  <sheetData>
    <row r="1" spans="1:36" ht="23.1" customHeight="1" x14ac:dyDescent="0.25">
      <c r="A1" s="9" t="s">
        <v>82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x14ac:dyDescent="0.25">
      <c r="A2" s="10" t="s">
        <v>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4" spans="1:36" x14ac:dyDescent="0.25">
      <c r="A4" s="1" t="s">
        <v>38</v>
      </c>
      <c r="B4" s="1" t="s">
        <v>39</v>
      </c>
      <c r="C4" s="1" t="s">
        <v>57</v>
      </c>
      <c r="D4" s="1" t="s">
        <v>58</v>
      </c>
      <c r="E4" s="1" t="s">
        <v>69</v>
      </c>
      <c r="F4" s="1" t="s">
        <v>59</v>
      </c>
      <c r="G4" s="1" t="s">
        <v>61</v>
      </c>
      <c r="H4" s="1" t="s">
        <v>75</v>
      </c>
      <c r="I4" s="1" t="s">
        <v>47</v>
      </c>
      <c r="J4" s="1" t="s">
        <v>46</v>
      </c>
      <c r="K4" s="1" t="s">
        <v>50</v>
      </c>
      <c r="L4" s="1" t="s">
        <v>51</v>
      </c>
      <c r="M4" s="1" t="s">
        <v>42</v>
      </c>
      <c r="N4" s="1" t="s">
        <v>53</v>
      </c>
      <c r="O4" s="1" t="s">
        <v>54</v>
      </c>
      <c r="P4" s="1" t="s">
        <v>43</v>
      </c>
      <c r="Q4" s="1" t="s">
        <v>55</v>
      </c>
      <c r="R4" s="1" t="s">
        <v>56</v>
      </c>
      <c r="S4" s="1" t="s">
        <v>76</v>
      </c>
      <c r="T4" s="1" t="s">
        <v>62</v>
      </c>
      <c r="U4" s="1" t="s">
        <v>63</v>
      </c>
      <c r="V4" s="1" t="s">
        <v>64</v>
      </c>
      <c r="W4" s="1" t="s">
        <v>60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77</v>
      </c>
      <c r="AC4" s="1" t="s">
        <v>40</v>
      </c>
      <c r="AD4" s="1" t="s">
        <v>78</v>
      </c>
      <c r="AE4" s="1" t="s">
        <v>41</v>
      </c>
      <c r="AF4" s="1" t="s">
        <v>45</v>
      </c>
      <c r="AG4" s="1" t="s">
        <v>71</v>
      </c>
      <c r="AH4" s="1" t="s">
        <v>79</v>
      </c>
      <c r="AI4" s="1" t="s">
        <v>80</v>
      </c>
      <c r="AJ4" s="1" t="s">
        <v>81</v>
      </c>
    </row>
    <row r="5" spans="1:36" x14ac:dyDescent="0.25">
      <c r="A5" s="6">
        <f>'Startup Anchors'!A6</f>
        <v>45836.459027777782</v>
      </c>
      <c r="B5" s="7">
        <f>'Startup Anchors'!B6-'Startup Anchors'!B5</f>
        <v>60.7</v>
      </c>
      <c r="C5" s="7">
        <f>'Startup Anchors'!C6-'Startup Anchors'!C5</f>
        <v>10.200000000000003</v>
      </c>
      <c r="D5" s="7">
        <f>'Startup Anchors'!D6-'Startup Anchors'!D5</f>
        <v>-29.900000000000006</v>
      </c>
      <c r="E5" s="7">
        <f>'Startup Anchors'!E6-'Startup Anchors'!E5</f>
        <v>17501</v>
      </c>
      <c r="F5" s="7">
        <f>'Startup Anchors'!F6-'Startup Anchors'!F5</f>
        <v>3.7999999999999972</v>
      </c>
      <c r="G5" s="7">
        <f>'Startup Anchors'!G6-'Startup Anchors'!G5</f>
        <v>33.400000000000006</v>
      </c>
      <c r="H5" s="7">
        <f>'Startup Anchors'!H6-'Startup Anchors'!H5</f>
        <v>37.35</v>
      </c>
      <c r="I5" s="7">
        <f>'Startup Anchors'!I6-'Startup Anchors'!I5</f>
        <v>9.9999999999997868E-2</v>
      </c>
      <c r="J5" s="7">
        <f>'Startup Anchors'!J6-'Startup Anchors'!J5</f>
        <v>108.2</v>
      </c>
      <c r="K5" s="7">
        <f>'Startup Anchors'!K6-'Startup Anchors'!K5</f>
        <v>-0.19999999999999929</v>
      </c>
      <c r="L5" s="7">
        <f>'Startup Anchors'!L6-'Startup Anchors'!L5</f>
        <v>23.700000000000017</v>
      </c>
      <c r="M5" s="7">
        <f>'Startup Anchors'!M6-'Startup Anchors'!M5</f>
        <v>40</v>
      </c>
      <c r="N5" s="7">
        <f>'Startup Anchors'!N6-'Startup Anchors'!N5</f>
        <v>100.8</v>
      </c>
      <c r="O5" s="7">
        <f>'Startup Anchors'!O6-'Startup Anchors'!O5</f>
        <v>13.099999999999994</v>
      </c>
      <c r="P5" s="7">
        <f>'Startup Anchors'!P6-'Startup Anchors'!P5</f>
        <v>-50</v>
      </c>
      <c r="Q5" s="7">
        <f>'Startup Anchors'!Q6-'Startup Anchors'!Q5</f>
        <v>-15</v>
      </c>
      <c r="R5" s="7">
        <f>'Startup Anchors'!R6-'Startup Anchors'!R5</f>
        <v>18.3</v>
      </c>
      <c r="S5" s="7">
        <f>'Startup Anchors'!S6-'Startup Anchors'!S5</f>
        <v>6.5</v>
      </c>
      <c r="T5" s="7">
        <f>'Startup Anchors'!T6-'Startup Anchors'!T5</f>
        <v>22.700000000000017</v>
      </c>
      <c r="U5" s="7">
        <f>'Startup Anchors'!U6-'Startup Anchors'!U5</f>
        <v>19.899999999999977</v>
      </c>
      <c r="V5" s="7">
        <f>'Startup Anchors'!V6-'Startup Anchors'!V5</f>
        <v>21.600000000000023</v>
      </c>
      <c r="W5" s="7">
        <f>'Startup Anchors'!W6-'Startup Anchors'!W5</f>
        <v>22.099999999999994</v>
      </c>
      <c r="X5" s="7">
        <f>'Startup Anchors'!X6-'Startup Anchors'!X5</f>
        <v>18.199999999999989</v>
      </c>
      <c r="Y5" s="7">
        <f>'Startup Anchors'!Y6-'Startup Anchors'!Y5</f>
        <v>23.099999999999994</v>
      </c>
      <c r="Z5" s="7">
        <f>'Startup Anchors'!Z6-'Startup Anchors'!Z5</f>
        <v>-15.600000000000009</v>
      </c>
      <c r="AA5" s="7">
        <f>'Startup Anchors'!AA6-'Startup Anchors'!AA5</f>
        <v>6.0000000000000053E-2</v>
      </c>
      <c r="AB5" s="7">
        <f>'Startup Anchors'!AB6-'Startup Anchors'!AB5</f>
        <v>9.5200000000000014</v>
      </c>
      <c r="AC5" s="7">
        <f>'Startup Anchors'!AC6-'Startup Anchors'!AC5</f>
        <v>0</v>
      </c>
      <c r="AD5" s="7">
        <f>'Startup Anchors'!AD6-'Startup Anchors'!AD5</f>
        <v>56.8</v>
      </c>
      <c r="AE5" s="7">
        <f>'Startup Anchors'!AE6-'Startup Anchors'!AE5</f>
        <v>0</v>
      </c>
      <c r="AF5" s="7">
        <f>'Startup Anchors'!AF6-'Startup Anchors'!AF5</f>
        <v>-0.29999999999999893</v>
      </c>
      <c r="AG5" s="7">
        <f>'Startup Anchors'!AG6-'Startup Anchors'!AG5</f>
        <v>-16.5</v>
      </c>
      <c r="AH5" s="7">
        <f>'Startup Anchors'!AH6-'Startup Anchors'!AH5</f>
        <v>0</v>
      </c>
      <c r="AI5" s="7">
        <f>'Startup Anchors'!AI6-'Startup Anchors'!AI5</f>
        <v>0.98</v>
      </c>
      <c r="AJ5" s="7">
        <f>'Startup Anchors'!AJ6-'Startup Anchors'!AJ5</f>
        <v>0</v>
      </c>
    </row>
    <row r="6" spans="1:36" x14ac:dyDescent="0.25">
      <c r="A6" s="6">
        <f>'Startup Anchors'!A7</f>
        <v>45836.500694444447</v>
      </c>
      <c r="B6" s="7">
        <f>'Startup Anchors'!B7-'Startup Anchors'!B6</f>
        <v>4.5999999999999943</v>
      </c>
      <c r="C6" s="7">
        <f>'Startup Anchors'!C7-'Startup Anchors'!C6</f>
        <v>21.599999999999994</v>
      </c>
      <c r="D6" s="7">
        <f>'Startup Anchors'!D7-'Startup Anchors'!D6</f>
        <v>-8</v>
      </c>
      <c r="E6" s="7">
        <f>'Startup Anchors'!E7-'Startup Anchors'!E6</f>
        <v>1234</v>
      </c>
      <c r="F6" s="7">
        <f>'Startup Anchors'!F7-'Startup Anchors'!F6</f>
        <v>4.5</v>
      </c>
      <c r="G6" s="7">
        <f>'Startup Anchors'!G7-'Startup Anchors'!G6</f>
        <v>-3.4000000000000057</v>
      </c>
      <c r="H6" s="7">
        <f>'Startup Anchors'!H7-'Startup Anchors'!H6</f>
        <v>0.17999999999999972</v>
      </c>
      <c r="I6" s="7">
        <f>'Startup Anchors'!I7-'Startup Anchors'!I6</f>
        <v>5.1000000000000014</v>
      </c>
      <c r="J6" s="7">
        <f>'Startup Anchors'!J7-'Startup Anchors'!J6</f>
        <v>2.0999999999999943</v>
      </c>
      <c r="K6" s="7">
        <f>'Startup Anchors'!K7-'Startup Anchors'!K6</f>
        <v>8.5999999999999979</v>
      </c>
      <c r="L6" s="7">
        <f>'Startup Anchors'!L7-'Startup Anchors'!L6</f>
        <v>-18.400000000000006</v>
      </c>
      <c r="M6" s="7">
        <f>'Startup Anchors'!M7-'Startup Anchors'!M6</f>
        <v>0</v>
      </c>
      <c r="N6" s="7">
        <f>'Startup Anchors'!N7-'Startup Anchors'!N6</f>
        <v>25.900000000000006</v>
      </c>
      <c r="O6" s="7">
        <f>'Startup Anchors'!O7-'Startup Anchors'!O6</f>
        <v>-27.899999999999991</v>
      </c>
      <c r="P6" s="7">
        <f>'Startup Anchors'!P7-'Startup Anchors'!P6</f>
        <v>10</v>
      </c>
      <c r="Q6" s="7">
        <f>'Startup Anchors'!Q7-'Startup Anchors'!Q6</f>
        <v>-4.5999999999999943</v>
      </c>
      <c r="R6" s="7">
        <f>'Startup Anchors'!R7-'Startup Anchors'!R6</f>
        <v>-5.1999999999999993</v>
      </c>
      <c r="S6" s="7">
        <f>'Startup Anchors'!S7-'Startup Anchors'!S6</f>
        <v>-0.39999999999999858</v>
      </c>
      <c r="T6" s="7">
        <f>'Startup Anchors'!T7-'Startup Anchors'!T6</f>
        <v>2.3999999999999773</v>
      </c>
      <c r="U6" s="7">
        <f>'Startup Anchors'!U7-'Startup Anchors'!U6</f>
        <v>0.20000000000001705</v>
      </c>
      <c r="V6" s="7">
        <f>'Startup Anchors'!V7-'Startup Anchors'!V6</f>
        <v>0.5</v>
      </c>
      <c r="W6" s="7">
        <f>'Startup Anchors'!W7-'Startup Anchors'!W6</f>
        <v>2.6000000000000227</v>
      </c>
      <c r="X6" s="7">
        <f>'Startup Anchors'!X7-'Startup Anchors'!X6</f>
        <v>-9.9999999999994316E-2</v>
      </c>
      <c r="Y6" s="7">
        <f>'Startup Anchors'!Y7-'Startup Anchors'!Y6</f>
        <v>1.0999999999999943</v>
      </c>
      <c r="Z6" s="7">
        <f>'Startup Anchors'!Z7-'Startup Anchors'!Z6</f>
        <v>73.7</v>
      </c>
      <c r="AA6" s="7">
        <f>'Startup Anchors'!AA7-'Startup Anchors'!AA6</f>
        <v>-0.27</v>
      </c>
      <c r="AB6" s="7">
        <f>'Startup Anchors'!AB7-'Startup Anchors'!AB6</f>
        <v>62.7</v>
      </c>
      <c r="AC6" s="7">
        <f>'Startup Anchors'!AC7-'Startup Anchors'!AC6</f>
        <v>29.6</v>
      </c>
      <c r="AD6" s="7">
        <f>'Startup Anchors'!AD7-'Startup Anchors'!AD6</f>
        <v>10</v>
      </c>
      <c r="AE6" s="7">
        <f>'Startup Anchors'!AE7-'Startup Anchors'!AE6</f>
        <v>17.600000000000001</v>
      </c>
      <c r="AF6" s="7">
        <f>'Startup Anchors'!AF7-'Startup Anchors'!AF6</f>
        <v>1.3999999999999986</v>
      </c>
      <c r="AG6" s="7">
        <f>'Startup Anchors'!AG7-'Startup Anchors'!AG6</f>
        <v>18.299999999999997</v>
      </c>
      <c r="AH6" s="7">
        <f>'Startup Anchors'!AH7-'Startup Anchors'!AH6</f>
        <v>-100</v>
      </c>
      <c r="AI6" s="7">
        <f>'Startup Anchors'!AI7-'Startup Anchors'!AI6</f>
        <v>1.23</v>
      </c>
      <c r="AJ6" s="7">
        <f>'Startup Anchors'!AJ7-'Startup Anchors'!AJ6</f>
        <v>-0.39999999999999858</v>
      </c>
    </row>
    <row r="7" spans="1:36" x14ac:dyDescent="0.25">
      <c r="A7" s="6">
        <f>'Startup Anchors'!A8</f>
        <v>45836.542361111111</v>
      </c>
      <c r="B7" s="7">
        <f>'Startup Anchors'!B8-'Startup Anchors'!B7</f>
        <v>15.5</v>
      </c>
      <c r="C7" s="7">
        <f>'Startup Anchors'!C8-'Startup Anchors'!C7</f>
        <v>9.5999999999999943</v>
      </c>
      <c r="D7" s="7">
        <f>'Startup Anchors'!D8-'Startup Anchors'!D7</f>
        <v>-8</v>
      </c>
      <c r="E7" s="7">
        <f>'Startup Anchors'!E8-'Startup Anchors'!E7</f>
        <v>4278</v>
      </c>
      <c r="F7" s="7">
        <f>'Startup Anchors'!F8-'Startup Anchors'!F7</f>
        <v>4.5</v>
      </c>
      <c r="G7" s="7">
        <f>'Startup Anchors'!G8-'Startup Anchors'!G7</f>
        <v>4.3000000000000114</v>
      </c>
      <c r="H7" s="7">
        <f>'Startup Anchors'!H8-'Startup Anchors'!H7</f>
        <v>-4.5600000000000023</v>
      </c>
      <c r="I7" s="7">
        <f>'Startup Anchors'!I8-'Startup Anchors'!I7</f>
        <v>0.39999999999999858</v>
      </c>
      <c r="J7" s="7">
        <f>'Startup Anchors'!J8-'Startup Anchors'!J7</f>
        <v>-13.699999999999989</v>
      </c>
      <c r="K7" s="7">
        <f>'Startup Anchors'!K8-'Startup Anchors'!K7</f>
        <v>0.30000000000000071</v>
      </c>
      <c r="L7" s="7">
        <f>'Startup Anchors'!L8-'Startup Anchors'!L7</f>
        <v>6.8999999999999915</v>
      </c>
      <c r="M7" s="7">
        <f>'Startup Anchors'!M8-'Startup Anchors'!M7</f>
        <v>0</v>
      </c>
      <c r="N7" s="7">
        <f>'Startup Anchors'!N8-'Startup Anchors'!N7</f>
        <v>7.8000000000000114</v>
      </c>
      <c r="O7" s="7">
        <f>'Startup Anchors'!O8-'Startup Anchors'!O7</f>
        <v>-3.3999999999999915</v>
      </c>
      <c r="P7" s="7">
        <f>'Startup Anchors'!P8-'Startup Anchors'!P7</f>
        <v>20</v>
      </c>
      <c r="Q7" s="7">
        <f>'Startup Anchors'!Q8-'Startup Anchors'!Q7</f>
        <v>-4.5999999999999943</v>
      </c>
      <c r="R7" s="7">
        <f>'Startup Anchors'!R8-'Startup Anchors'!R7</f>
        <v>1.5</v>
      </c>
      <c r="S7" s="7">
        <f>'Startup Anchors'!S8-'Startup Anchors'!S7</f>
        <v>-0.10000000000000142</v>
      </c>
      <c r="T7" s="7">
        <f>'Startup Anchors'!T8-'Startup Anchors'!T7</f>
        <v>2.7000000000000171</v>
      </c>
      <c r="U7" s="7">
        <f>'Startup Anchors'!U8-'Startup Anchors'!U7</f>
        <v>5.9000000000000057</v>
      </c>
      <c r="V7" s="7">
        <f>'Startup Anchors'!V8-'Startup Anchors'!V7</f>
        <v>7</v>
      </c>
      <c r="W7" s="7">
        <f>'Startup Anchors'!W8-'Startup Anchors'!W7</f>
        <v>6.7999999999999829</v>
      </c>
      <c r="X7" s="7">
        <f>'Startup Anchors'!X8-'Startup Anchors'!X7</f>
        <v>5.5999999999999943</v>
      </c>
      <c r="Y7" s="7">
        <f>'Startup Anchors'!Y8-'Startup Anchors'!Y7</f>
        <v>3.4000000000000057</v>
      </c>
      <c r="Z7" s="7">
        <f>'Startup Anchors'!Z8-'Startup Anchors'!Z7</f>
        <v>8.0999999999999943</v>
      </c>
      <c r="AA7" s="7">
        <f>'Startup Anchors'!AA8-'Startup Anchors'!AA7</f>
        <v>-0.35999999999999988</v>
      </c>
      <c r="AB7" s="7">
        <f>'Startup Anchors'!AB8-'Startup Anchors'!AB7</f>
        <v>11.409999999999997</v>
      </c>
      <c r="AC7" s="7">
        <f>'Startup Anchors'!AC8-'Startup Anchors'!AC7</f>
        <v>9.8999999999999986</v>
      </c>
      <c r="AD7" s="7">
        <f>'Startup Anchors'!AD8-'Startup Anchors'!AD7</f>
        <v>-3.2999999999999972</v>
      </c>
      <c r="AE7" s="7">
        <f>'Startup Anchors'!AE8-'Startup Anchors'!AE7</f>
        <v>19.5</v>
      </c>
      <c r="AF7" s="7">
        <f>'Startup Anchors'!AF8-'Startup Anchors'!AF7</f>
        <v>3.1999999999999993</v>
      </c>
      <c r="AG7" s="7">
        <f>'Startup Anchors'!AG8-'Startup Anchors'!AG7</f>
        <v>15.400000000000006</v>
      </c>
      <c r="AH7" s="7">
        <f>'Startup Anchors'!AH8-'Startup Anchors'!AH7</f>
        <v>0</v>
      </c>
      <c r="AI7" s="7">
        <f>'Startup Anchors'!AI8-'Startup Anchors'!AI7</f>
        <v>2.48</v>
      </c>
      <c r="AJ7" s="7">
        <f>'Startup Anchors'!AJ8-'Startup Anchors'!AJ7</f>
        <v>0.5</v>
      </c>
    </row>
    <row r="8" spans="1:36" x14ac:dyDescent="0.25">
      <c r="A8" s="6">
        <f>'Startup Anchors'!A9</f>
        <v>45836.584027777782</v>
      </c>
      <c r="B8" s="7">
        <f>'Startup Anchors'!B9-'Startup Anchors'!B8</f>
        <v>11.400000000000006</v>
      </c>
      <c r="C8" s="7">
        <f>'Startup Anchors'!C9-'Startup Anchors'!C8</f>
        <v>1.2000000000000171</v>
      </c>
      <c r="D8" s="7">
        <f>'Startup Anchors'!D9-'Startup Anchors'!D8</f>
        <v>-14</v>
      </c>
      <c r="E8" s="7">
        <f>'Startup Anchors'!E9-'Startup Anchors'!E8</f>
        <v>3101</v>
      </c>
      <c r="F8" s="7">
        <f>'Startup Anchors'!F9-'Startup Anchors'!F8</f>
        <v>0.79999999999999716</v>
      </c>
      <c r="G8" s="7">
        <f>'Startup Anchors'!G9-'Startup Anchors'!G8</f>
        <v>0.5</v>
      </c>
      <c r="H8" s="7">
        <f>'Startup Anchors'!H9-'Startup Anchors'!H8</f>
        <v>7.5</v>
      </c>
      <c r="I8" s="7">
        <f>'Startup Anchors'!I9-'Startup Anchors'!I8</f>
        <v>-0.69999999999999929</v>
      </c>
      <c r="J8" s="7">
        <f>'Startup Anchors'!J9-'Startup Anchors'!J8</f>
        <v>23.299999999999997</v>
      </c>
      <c r="K8" s="7">
        <f>'Startup Anchors'!K9-'Startup Anchors'!K8</f>
        <v>-0.30000000000000071</v>
      </c>
      <c r="L8" s="7">
        <f>'Startup Anchors'!L9-'Startup Anchors'!L8</f>
        <v>10.600000000000009</v>
      </c>
      <c r="M8" s="7">
        <f>'Startup Anchors'!M9-'Startup Anchors'!M8</f>
        <v>10</v>
      </c>
      <c r="N8" s="7">
        <f>'Startup Anchors'!N9-'Startup Anchors'!N8</f>
        <v>1.7999999999999829</v>
      </c>
      <c r="O8" s="7">
        <f>'Startup Anchors'!O9-'Startup Anchors'!O8</f>
        <v>19.099999999999994</v>
      </c>
      <c r="P8" s="7">
        <f>'Startup Anchors'!P9-'Startup Anchors'!P8</f>
        <v>5</v>
      </c>
      <c r="Q8" s="7">
        <f>'Startup Anchors'!Q9-'Startup Anchors'!Q8</f>
        <v>-10.300000000000011</v>
      </c>
      <c r="R8" s="7">
        <f>'Startup Anchors'!R9-'Startup Anchors'!R8</f>
        <v>4.8000000000000007</v>
      </c>
      <c r="S8" s="7">
        <f>'Startup Anchors'!S9-'Startup Anchors'!S8</f>
        <v>2.8999999999999986</v>
      </c>
      <c r="T8" s="7">
        <f>'Startup Anchors'!T9-'Startup Anchors'!T8</f>
        <v>0.59999999999999432</v>
      </c>
      <c r="U8" s="7">
        <f>'Startup Anchors'!U9-'Startup Anchors'!U8</f>
        <v>0.59999999999999432</v>
      </c>
      <c r="V8" s="7">
        <f>'Startup Anchors'!V9-'Startup Anchors'!V8</f>
        <v>1.6999999999999886</v>
      </c>
      <c r="W8" s="7">
        <f>'Startup Anchors'!W9-'Startup Anchors'!W8</f>
        <v>2.5</v>
      </c>
      <c r="X8" s="7">
        <f>'Startup Anchors'!X9-'Startup Anchors'!X8</f>
        <v>3.4000000000000057</v>
      </c>
      <c r="Y8" s="7">
        <f>'Startup Anchors'!Y9-'Startup Anchors'!Y8</f>
        <v>2.6999999999999886</v>
      </c>
      <c r="Z8" s="7">
        <f>'Startup Anchors'!Z9-'Startup Anchors'!Z8</f>
        <v>2.4000000000000057</v>
      </c>
      <c r="AA8" s="7">
        <f>'Startup Anchors'!AA9-'Startup Anchors'!AA8</f>
        <v>-0.12000000000000011</v>
      </c>
      <c r="AB8" s="7">
        <f>'Startup Anchors'!AB9-'Startup Anchors'!AB8</f>
        <v>16.070000000000007</v>
      </c>
      <c r="AC8" s="7">
        <f>'Startup Anchors'!AC9-'Startup Anchors'!AC8</f>
        <v>5</v>
      </c>
      <c r="AD8" s="7">
        <f>'Startup Anchors'!AD9-'Startup Anchors'!AD8</f>
        <v>3.7999999999999972</v>
      </c>
      <c r="AE8" s="7">
        <f>'Startup Anchors'!AE9-'Startup Anchors'!AE8</f>
        <v>5.6999999999999957</v>
      </c>
      <c r="AF8" s="7">
        <f>'Startup Anchors'!AF9-'Startup Anchors'!AF8</f>
        <v>0.60000000000000142</v>
      </c>
      <c r="AG8" s="7">
        <f>'Startup Anchors'!AG9-'Startup Anchors'!AG8</f>
        <v>-8.6000000000000014</v>
      </c>
      <c r="AH8" s="7">
        <f>'Startup Anchors'!AH9-'Startup Anchors'!AH8</f>
        <v>0</v>
      </c>
      <c r="AI8" s="7">
        <f>'Startup Anchors'!AI9-'Startup Anchors'!AI8</f>
        <v>0.54</v>
      </c>
      <c r="AJ8" s="7">
        <f>'Startup Anchors'!AJ9-'Startup Anchors'!AJ8</f>
        <v>-0.10000000000000142</v>
      </c>
    </row>
    <row r="9" spans="1:36" x14ac:dyDescent="0.25">
      <c r="A9" s="6">
        <f>'Startup Anchors'!A10</f>
        <v>45836.625694444447</v>
      </c>
      <c r="B9" s="7">
        <f>'Startup Anchors'!B10-'Startup Anchors'!B9</f>
        <v>1.7000000000000028</v>
      </c>
      <c r="C9" s="7">
        <f>'Startup Anchors'!C10-'Startup Anchors'!C9</f>
        <v>-2.8000000000000114</v>
      </c>
      <c r="D9" s="7">
        <f>'Startup Anchors'!D10-'Startup Anchors'!D9</f>
        <v>-5</v>
      </c>
      <c r="E9" s="7">
        <f>'Startup Anchors'!E10-'Startup Anchors'!E9</f>
        <v>481</v>
      </c>
      <c r="F9" s="7">
        <f>'Startup Anchors'!F10-'Startup Anchors'!F9</f>
        <v>-0.40000000000000568</v>
      </c>
      <c r="G9" s="7">
        <f>'Startup Anchors'!G10-'Startup Anchors'!G9</f>
        <v>0</v>
      </c>
      <c r="H9" s="7">
        <f>'Startup Anchors'!H10-'Startup Anchors'!H9</f>
        <v>1.509999999999998</v>
      </c>
      <c r="I9" s="7">
        <f>'Startup Anchors'!I10-'Startup Anchors'!I9</f>
        <v>-0.19999999999999929</v>
      </c>
      <c r="J9" s="7">
        <f>'Startup Anchors'!J10-'Startup Anchors'!J9</f>
        <v>3.7000000000000028</v>
      </c>
      <c r="K9" s="7">
        <f>'Startup Anchors'!K10-'Startup Anchors'!K9</f>
        <v>-0.5</v>
      </c>
      <c r="L9" s="7">
        <f>'Startup Anchors'!L10-'Startup Anchors'!L9</f>
        <v>-9.5</v>
      </c>
      <c r="M9" s="7">
        <f>'Startup Anchors'!M10-'Startup Anchors'!M9</f>
        <v>13</v>
      </c>
      <c r="N9" s="7">
        <f>'Startup Anchors'!N10-'Startup Anchors'!N9</f>
        <v>-3.1999999999999886</v>
      </c>
      <c r="O9" s="7">
        <f>'Startup Anchors'!O10-'Startup Anchors'!O9</f>
        <v>-2.6999999999999886</v>
      </c>
      <c r="P9" s="7">
        <f>'Startup Anchors'!P10-'Startup Anchors'!P9</f>
        <v>-2</v>
      </c>
      <c r="Q9" s="7">
        <f>'Startup Anchors'!Q10-'Startup Anchors'!Q9</f>
        <v>-9.9999999999994316E-2</v>
      </c>
      <c r="R9" s="7">
        <f>'Startup Anchors'!R10-'Startup Anchors'!R9</f>
        <v>1.7999999999999972</v>
      </c>
      <c r="S9" s="7">
        <f>'Startup Anchors'!S10-'Startup Anchors'!S9</f>
        <v>0.30000000000000426</v>
      </c>
      <c r="T9" s="7">
        <f>'Startup Anchors'!T10-'Startup Anchors'!T9</f>
        <v>9.9999999999994316E-2</v>
      </c>
      <c r="U9" s="7">
        <f>'Startup Anchors'!U10-'Startup Anchors'!U9</f>
        <v>-0.80000000000001137</v>
      </c>
      <c r="V9" s="7">
        <f>'Startup Anchors'!V10-'Startup Anchors'!V9</f>
        <v>-0.40000000000000568</v>
      </c>
      <c r="W9" s="7">
        <f>'Startup Anchors'!W10-'Startup Anchors'!W9</f>
        <v>0.20000000000001705</v>
      </c>
      <c r="X9" s="7">
        <f>'Startup Anchors'!X10-'Startup Anchors'!X9</f>
        <v>0.5</v>
      </c>
      <c r="Y9" s="7">
        <f>'Startup Anchors'!Y10-'Startup Anchors'!Y9</f>
        <v>0.40000000000000568</v>
      </c>
      <c r="Z9" s="7">
        <f>'Startup Anchors'!Z10-'Startup Anchors'!Z9</f>
        <v>0.5</v>
      </c>
      <c r="AA9" s="7">
        <f>'Startup Anchors'!AA10-'Startup Anchors'!AA9</f>
        <v>6.0000000000000053E-2</v>
      </c>
      <c r="AB9" s="7">
        <f>'Startup Anchors'!AB10-'Startup Anchors'!AB9</f>
        <v>0.20999999999999375</v>
      </c>
      <c r="AC9" s="7">
        <f>'Startup Anchors'!AC10-'Startup Anchors'!AC9</f>
        <v>1.5</v>
      </c>
      <c r="AD9" s="7">
        <f>'Startup Anchors'!AD10-'Startup Anchors'!AD9</f>
        <v>-6.3999999999999986</v>
      </c>
      <c r="AE9" s="7">
        <f>'Startup Anchors'!AE10-'Startup Anchors'!AE9</f>
        <v>-0.79999999999999716</v>
      </c>
      <c r="AF9" s="7">
        <f>'Startup Anchors'!AF10-'Startup Anchors'!AF9</f>
        <v>0.39999999999999858</v>
      </c>
      <c r="AG9" s="7">
        <f>'Startup Anchors'!AG10-'Startup Anchors'!AG9</f>
        <v>-4.3000000000000043</v>
      </c>
      <c r="AH9" s="7">
        <f>'Startup Anchors'!AH10-'Startup Anchors'!AH9</f>
        <v>0</v>
      </c>
      <c r="AI9" s="7">
        <f>'Startup Anchors'!AI10-'Startup Anchors'!AI9</f>
        <v>-1.0999999999999996</v>
      </c>
      <c r="AJ9" s="7">
        <f>'Startup Anchors'!AJ10-'Startup Anchors'!AJ9</f>
        <v>0.10000000000000142</v>
      </c>
    </row>
    <row r="10" spans="1:36" x14ac:dyDescent="0.25">
      <c r="A10" s="6">
        <f>'Startup Anchors'!A11</f>
        <v>45836.667361111111</v>
      </c>
      <c r="B10" s="7">
        <f>'Startup Anchors'!B11-'Startup Anchors'!B10</f>
        <v>3.0999999999999943</v>
      </c>
      <c r="C10" s="7">
        <f>'Startup Anchors'!C11-'Startup Anchors'!C10</f>
        <v>-0.80000000000001137</v>
      </c>
      <c r="D10" s="7">
        <f>'Startup Anchors'!D11-'Startup Anchors'!D10</f>
        <v>0</v>
      </c>
      <c r="E10" s="7">
        <f>'Startup Anchors'!E11-'Startup Anchors'!E10</f>
        <v>824</v>
      </c>
      <c r="F10" s="7">
        <f>'Startup Anchors'!F11-'Startup Anchors'!F10</f>
        <v>-0.89999999999999147</v>
      </c>
      <c r="G10" s="7">
        <f>'Startup Anchors'!G11-'Startup Anchors'!G10</f>
        <v>0</v>
      </c>
      <c r="H10" s="7">
        <f>'Startup Anchors'!H11-'Startup Anchors'!H10</f>
        <v>1.490000000000002</v>
      </c>
      <c r="I10" s="7">
        <f>'Startup Anchors'!I11-'Startup Anchors'!I10</f>
        <v>-4.1000000000000014</v>
      </c>
      <c r="J10" s="7">
        <f>'Startup Anchors'!J11-'Startup Anchors'!J10</f>
        <v>3.3999999999999915</v>
      </c>
      <c r="K10" s="7">
        <f>'Startup Anchors'!K11-'Startup Anchors'!K10</f>
        <v>-4.0999999999999979</v>
      </c>
      <c r="L10" s="7">
        <f>'Startup Anchors'!L11-'Startup Anchors'!L10</f>
        <v>-6.3000000000000114</v>
      </c>
      <c r="M10" s="7">
        <f>'Startup Anchors'!M11-'Startup Anchors'!M10</f>
        <v>-3</v>
      </c>
      <c r="N10" s="7">
        <f>'Startup Anchors'!N11-'Startup Anchors'!N10</f>
        <v>-0.70000000000001705</v>
      </c>
      <c r="O10" s="7">
        <f>'Startup Anchors'!O11-'Startup Anchors'!O10</f>
        <v>10.099999999999994</v>
      </c>
      <c r="P10" s="7">
        <f>'Startup Anchors'!P11-'Startup Anchors'!P10</f>
        <v>-3</v>
      </c>
      <c r="Q10" s="7">
        <f>'Startup Anchors'!Q11-'Startup Anchors'!Q10</f>
        <v>-1.9000000000000057</v>
      </c>
      <c r="R10" s="7">
        <f>'Startup Anchors'!R11-'Startup Anchors'!R10</f>
        <v>-6.2999999999999989</v>
      </c>
      <c r="S10" s="7">
        <f>'Startup Anchors'!S11-'Startup Anchors'!S10</f>
        <v>-1.6000000000000014</v>
      </c>
      <c r="T10" s="7">
        <f>'Startup Anchors'!T11-'Startup Anchors'!T10</f>
        <v>-0.5</v>
      </c>
      <c r="U10" s="7">
        <f>'Startup Anchors'!U11-'Startup Anchors'!U10</f>
        <v>-1.4000000000000057</v>
      </c>
      <c r="V10" s="7">
        <f>'Startup Anchors'!V11-'Startup Anchors'!V10</f>
        <v>-2.0999999999999943</v>
      </c>
      <c r="W10" s="7">
        <f>'Startup Anchors'!W11-'Startup Anchors'!W10</f>
        <v>-1.8000000000000114</v>
      </c>
      <c r="X10" s="7">
        <f>'Startup Anchors'!X11-'Startup Anchors'!X10</f>
        <v>-1.1999999999999886</v>
      </c>
      <c r="Y10" s="7">
        <f>'Startup Anchors'!Y11-'Startup Anchors'!Y10</f>
        <v>-1.4000000000000057</v>
      </c>
      <c r="Z10" s="7">
        <f>'Startup Anchors'!Z11-'Startup Anchors'!Z10</f>
        <v>-1.5</v>
      </c>
      <c r="AA10" s="7">
        <f>'Startup Anchors'!AA11-'Startup Anchors'!AA10</f>
        <v>6.0000000000000053E-2</v>
      </c>
      <c r="AB10" s="7">
        <f>'Startup Anchors'!AB11-'Startup Anchors'!AB10</f>
        <v>0</v>
      </c>
      <c r="AC10" s="7">
        <f>'Startup Anchors'!AC11-'Startup Anchors'!AC10</f>
        <v>3</v>
      </c>
      <c r="AD10" s="7">
        <f>'Startup Anchors'!AD11-'Startup Anchors'!AD10</f>
        <v>12.100000000000001</v>
      </c>
      <c r="AE10" s="7">
        <f>'Startup Anchors'!AE11-'Startup Anchors'!AE10</f>
        <v>3.3999999999999986</v>
      </c>
      <c r="AF10" s="7">
        <f>'Startup Anchors'!AF11-'Startup Anchors'!AF10</f>
        <v>0.30000000000000071</v>
      </c>
      <c r="AG10" s="7">
        <f>'Startup Anchors'!AG11-'Startup Anchors'!AG10</f>
        <v>5.8000000000000043</v>
      </c>
      <c r="AH10" s="7">
        <f>'Startup Anchors'!AH11-'Startup Anchors'!AH10</f>
        <v>0</v>
      </c>
      <c r="AI10" s="7">
        <f>'Startup Anchors'!AI11-'Startup Anchors'!AI10</f>
        <v>0.8199999999999994</v>
      </c>
      <c r="AJ10" s="7">
        <f>'Startup Anchors'!AJ11-'Startup Anchors'!AJ10</f>
        <v>-0.10000000000000142</v>
      </c>
    </row>
  </sheetData>
  <mergeCells count="2">
    <mergeCell ref="A2:AJ2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2" customWidth="1"/>
    <col min="2" max="2" width="14" customWidth="1"/>
    <col min="3" max="3" width="21" customWidth="1"/>
    <col min="4" max="4" width="23" customWidth="1"/>
    <col min="5" max="9" width="42" customWidth="1"/>
  </cols>
  <sheetData>
    <row r="1" spans="1:9" ht="23.1" customHeight="1" x14ac:dyDescent="0.25">
      <c r="A1" s="9" t="s">
        <v>83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0" t="s">
        <v>84</v>
      </c>
      <c r="B2" s="10"/>
      <c r="C2" s="10"/>
      <c r="D2" s="10"/>
      <c r="E2" s="10"/>
      <c r="F2" s="10"/>
      <c r="G2" s="10"/>
      <c r="H2" s="10"/>
      <c r="I2" s="10"/>
    </row>
    <row r="4" spans="1:9" x14ac:dyDescent="0.25">
      <c r="A4" s="1" t="s">
        <v>85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90</v>
      </c>
      <c r="G4" s="1" t="s">
        <v>91</v>
      </c>
      <c r="H4" s="1" t="s">
        <v>92</v>
      </c>
      <c r="I4" s="1" t="s">
        <v>93</v>
      </c>
    </row>
    <row r="5" spans="1:9" x14ac:dyDescent="0.25">
      <c r="A5" s="2" t="s">
        <v>94</v>
      </c>
      <c r="B5" s="2" t="s">
        <v>39</v>
      </c>
      <c r="C5" s="2">
        <v>17</v>
      </c>
      <c r="D5" s="2">
        <v>16</v>
      </c>
      <c r="E5" s="7">
        <f>IFERROR(CORREL('Normal Gradients'!B5:B20,'Normal Gradients'!B5:B20),"")</f>
        <v>1.0000000000000002</v>
      </c>
      <c r="F5" s="7">
        <f>IFERROR(CORREL('Normal Gradients'!B5:B19,'Normal Gradients'!B6:B20),"")</f>
        <v>-0.51305665010060997</v>
      </c>
      <c r="G5" s="7">
        <f>IFERROR(CORREL('Normal Gradients'!B5:B18,'Normal Gradients'!B7:B20),"")</f>
        <v>0.14828820553904135</v>
      </c>
      <c r="H5" s="7">
        <f>IFERROR(CORREL('Normal Gradients'!B5:B17,'Normal Gradients'!B8:B20),"")</f>
        <v>-0.26159456292509881</v>
      </c>
      <c r="I5" s="2" t="str">
        <f t="shared" ref="I5:I36" si="0">IF(OR(D5&lt;7,COUNT(E5:H5)&lt;4),"INSUFFICIENT",IF(ABS(E5)&gt;=MAX(ABS(F5),ABS(G5),ABS(H5)),"0 h bin","ambiguous"))</f>
        <v>0 h bin</v>
      </c>
    </row>
    <row r="6" spans="1:9" x14ac:dyDescent="0.25">
      <c r="A6" s="2" t="s">
        <v>94</v>
      </c>
      <c r="B6" s="2" t="s">
        <v>40</v>
      </c>
      <c r="C6" s="2">
        <v>17</v>
      </c>
      <c r="D6" s="2">
        <v>16</v>
      </c>
      <c r="E6" s="7">
        <f>IFERROR(CORREL('Normal Gradients'!B5:B20,'Normal Gradients'!C5:C20),"")</f>
        <v>0.20784498366973164</v>
      </c>
      <c r="F6" s="7">
        <f>IFERROR(CORREL('Normal Gradients'!B5:B19,'Normal Gradients'!C6:C20),"")</f>
        <v>0.25591501706444092</v>
      </c>
      <c r="G6" s="7">
        <f>IFERROR(CORREL('Normal Gradients'!B5:B18,'Normal Gradients'!C7:C20),"")</f>
        <v>-0.15028292015432024</v>
      </c>
      <c r="H6" s="7">
        <f>IFERROR(CORREL('Normal Gradients'!B5:B17,'Normal Gradients'!C8:C20),"")</f>
        <v>0.43885453053124096</v>
      </c>
      <c r="I6" s="2" t="str">
        <f t="shared" si="0"/>
        <v>ambiguous</v>
      </c>
    </row>
    <row r="7" spans="1:9" x14ac:dyDescent="0.25">
      <c r="A7" s="2" t="s">
        <v>94</v>
      </c>
      <c r="B7" s="2" t="s">
        <v>41</v>
      </c>
      <c r="C7" s="2">
        <v>17</v>
      </c>
      <c r="D7" s="2">
        <v>16</v>
      </c>
      <c r="E7" s="7">
        <f>IFERROR(CORREL('Normal Gradients'!B5:B20,'Normal Gradients'!D5:D20),"")</f>
        <v>0.1666886282858622</v>
      </c>
      <c r="F7" s="7">
        <f>IFERROR(CORREL('Normal Gradients'!B5:B19,'Normal Gradients'!D6:D20),"")</f>
        <v>0.13280700281631735</v>
      </c>
      <c r="G7" s="7">
        <f>IFERROR(CORREL('Normal Gradients'!B5:B18,'Normal Gradients'!D7:D20),"")</f>
        <v>-0.17876691811384293</v>
      </c>
      <c r="H7" s="7">
        <f>IFERROR(CORREL('Normal Gradients'!B5:B17,'Normal Gradients'!D8:D20),"")</f>
        <v>0.39078848922237813</v>
      </c>
      <c r="I7" s="2" t="str">
        <f t="shared" si="0"/>
        <v>ambiguous</v>
      </c>
    </row>
    <row r="8" spans="1:9" x14ac:dyDescent="0.25">
      <c r="A8" s="2" t="s">
        <v>94</v>
      </c>
      <c r="B8" s="2" t="s">
        <v>42</v>
      </c>
      <c r="C8" s="2">
        <v>17</v>
      </c>
      <c r="D8" s="2">
        <v>16</v>
      </c>
      <c r="E8" s="7">
        <f>IFERROR(CORREL('Normal Gradients'!B5:B20,'Normal Gradients'!E5:E20),"")</f>
        <v>1.5759076197248569E-2</v>
      </c>
      <c r="F8" s="7">
        <f>IFERROR(CORREL('Normal Gradients'!B5:B19,'Normal Gradients'!E6:E20),"")</f>
        <v>0.11462960899499106</v>
      </c>
      <c r="G8" s="7">
        <f>IFERROR(CORREL('Normal Gradients'!B5:B18,'Normal Gradients'!E7:E20),"")</f>
        <v>-0.34901015575252436</v>
      </c>
      <c r="H8" s="7" t="str">
        <f>IFERROR(CORREL('Normal Gradients'!B5:B17,'Normal Gradients'!E8:E20),"")</f>
        <v/>
      </c>
      <c r="I8" s="2" t="str">
        <f t="shared" si="0"/>
        <v>INSUFFICIENT</v>
      </c>
    </row>
    <row r="9" spans="1:9" x14ac:dyDescent="0.25">
      <c r="A9" s="2" t="s">
        <v>94</v>
      </c>
      <c r="B9" s="2" t="s">
        <v>43</v>
      </c>
      <c r="C9" s="2">
        <v>17</v>
      </c>
      <c r="D9" s="2">
        <v>16</v>
      </c>
      <c r="E9" s="7">
        <f>IFERROR(CORREL('Normal Gradients'!B5:B20,'Normal Gradients'!F5:F20),"")</f>
        <v>-0.31073765467237791</v>
      </c>
      <c r="F9" s="7">
        <f>IFERROR(CORREL('Normal Gradients'!B5:B19,'Normal Gradients'!F6:F20),"")</f>
        <v>3.454717528507583E-2</v>
      </c>
      <c r="G9" s="7">
        <f>IFERROR(CORREL('Normal Gradients'!B5:B18,'Normal Gradients'!F7:F20),"")</f>
        <v>0.34680673881767415</v>
      </c>
      <c r="H9" s="7">
        <f>IFERROR(CORREL('Normal Gradients'!B5:B17,'Normal Gradients'!F8:F20),"")</f>
        <v>-0.18696779556057588</v>
      </c>
      <c r="I9" s="2" t="str">
        <f t="shared" si="0"/>
        <v>ambiguous</v>
      </c>
    </row>
    <row r="10" spans="1:9" x14ac:dyDescent="0.25">
      <c r="A10" s="2" t="s">
        <v>94</v>
      </c>
      <c r="B10" s="2" t="s">
        <v>44</v>
      </c>
      <c r="C10" s="2">
        <v>17</v>
      </c>
      <c r="D10" s="2">
        <v>16</v>
      </c>
      <c r="E10" s="7">
        <f>IFERROR(CORREL('Normal Gradients'!B5:B20,'Normal Gradients'!G5:G20),"")</f>
        <v>0.16733362062393839</v>
      </c>
      <c r="F10" s="7">
        <f>IFERROR(CORREL('Normal Gradients'!B5:B19,'Normal Gradients'!G6:G20),"")</f>
        <v>-0.16948080374766536</v>
      </c>
      <c r="G10" s="7">
        <f>IFERROR(CORREL('Normal Gradients'!B5:B18,'Normal Gradients'!G7:G20),"")</f>
        <v>-0.4660372534996402</v>
      </c>
      <c r="H10" s="7">
        <f>IFERROR(CORREL('Normal Gradients'!B5:B17,'Normal Gradients'!G8:G20),"")</f>
        <v>0.24593157490784048</v>
      </c>
      <c r="I10" s="2" t="str">
        <f t="shared" si="0"/>
        <v>ambiguous</v>
      </c>
    </row>
    <row r="11" spans="1:9" x14ac:dyDescent="0.25">
      <c r="A11" s="2" t="s">
        <v>94</v>
      </c>
      <c r="B11" s="2" t="s">
        <v>45</v>
      </c>
      <c r="C11" s="2">
        <v>17</v>
      </c>
      <c r="D11" s="2">
        <v>16</v>
      </c>
      <c r="E11" s="7">
        <f>IFERROR(CORREL('Normal Gradients'!B5:B20,'Normal Gradients'!H5:H20),"")</f>
        <v>9.9688314508356191E-2</v>
      </c>
      <c r="F11" s="7">
        <f>IFERROR(CORREL('Normal Gradients'!B5:B19,'Normal Gradients'!H6:H20),"")</f>
        <v>0.27352890954480286</v>
      </c>
      <c r="G11" s="7">
        <f>IFERROR(CORREL('Normal Gradients'!B5:B18,'Normal Gradients'!H7:H20),"")</f>
        <v>-9.3337969666121873E-2</v>
      </c>
      <c r="H11" s="7">
        <f>IFERROR(CORREL('Normal Gradients'!B5:B17,'Normal Gradients'!H8:H20),"")</f>
        <v>-0.24666788132306708</v>
      </c>
      <c r="I11" s="2" t="str">
        <f t="shared" si="0"/>
        <v>ambiguous</v>
      </c>
    </row>
    <row r="12" spans="1:9" x14ac:dyDescent="0.25">
      <c r="A12" s="2" t="s">
        <v>94</v>
      </c>
      <c r="B12" s="2" t="s">
        <v>46</v>
      </c>
      <c r="C12" s="2">
        <v>17</v>
      </c>
      <c r="D12" s="2">
        <v>16</v>
      </c>
      <c r="E12" s="7">
        <f>IFERROR(CORREL('Normal Gradients'!B5:B20,'Normal Gradients'!I5:I20),"")</f>
        <v>-0.18663267011823703</v>
      </c>
      <c r="F12" s="7">
        <f>IFERROR(CORREL('Normal Gradients'!B5:B19,'Normal Gradients'!I6:I20),"")</f>
        <v>9.8140072312005472E-2</v>
      </c>
      <c r="G12" s="7">
        <f>IFERROR(CORREL('Normal Gradients'!B5:B18,'Normal Gradients'!I7:I20),"")</f>
        <v>-0.21189180724140236</v>
      </c>
      <c r="H12" s="7">
        <f>IFERROR(CORREL('Normal Gradients'!B5:B17,'Normal Gradients'!I8:I20),"")</f>
        <v>0.4735391802086088</v>
      </c>
      <c r="I12" s="2" t="str">
        <f t="shared" si="0"/>
        <v>ambiguous</v>
      </c>
    </row>
    <row r="13" spans="1:9" x14ac:dyDescent="0.25">
      <c r="A13" s="2" t="s">
        <v>94</v>
      </c>
      <c r="B13" s="2" t="s">
        <v>47</v>
      </c>
      <c r="C13" s="2">
        <v>17</v>
      </c>
      <c r="D13" s="2">
        <v>16</v>
      </c>
      <c r="E13" s="7">
        <f>IFERROR(CORREL('Normal Gradients'!B5:B20,'Normal Gradients'!J5:J20),"")</f>
        <v>0.23420463903683214</v>
      </c>
      <c r="F13" s="7">
        <f>IFERROR(CORREL('Normal Gradients'!B5:B19,'Normal Gradients'!J6:J20),"")</f>
        <v>5.3248674116254342E-2</v>
      </c>
      <c r="G13" s="7">
        <f>IFERROR(CORREL('Normal Gradients'!B5:B18,'Normal Gradients'!J7:J20),"")</f>
        <v>4.934266594541499E-2</v>
      </c>
      <c r="H13" s="7">
        <f>IFERROR(CORREL('Normal Gradients'!B5:B17,'Normal Gradients'!J8:J20),"")</f>
        <v>-0.20979779376160126</v>
      </c>
      <c r="I13" s="2" t="str">
        <f t="shared" si="0"/>
        <v>0 h bin</v>
      </c>
    </row>
    <row r="14" spans="1:9" x14ac:dyDescent="0.25">
      <c r="A14" s="2" t="s">
        <v>94</v>
      </c>
      <c r="B14" s="2" t="s">
        <v>48</v>
      </c>
      <c r="C14" s="2">
        <v>17</v>
      </c>
      <c r="D14" s="2">
        <v>16</v>
      </c>
      <c r="E14" s="7">
        <f>IFERROR(CORREL('Normal Gradients'!B5:B20,'Normal Gradients'!K5:K20),"")</f>
        <v>0.99249538430783724</v>
      </c>
      <c r="F14" s="7">
        <f>IFERROR(CORREL('Normal Gradients'!B5:B19,'Normal Gradients'!K6:K20),"")</f>
        <v>-0.52675679121745311</v>
      </c>
      <c r="G14" s="7">
        <f>IFERROR(CORREL('Normal Gradients'!B5:B18,'Normal Gradients'!K7:K20),"")</f>
        <v>0.22351811767599389</v>
      </c>
      <c r="H14" s="7">
        <f>IFERROR(CORREL('Normal Gradients'!B5:B17,'Normal Gradients'!K8:K20),"")</f>
        <v>-0.27364702858867695</v>
      </c>
      <c r="I14" s="2" t="str">
        <f t="shared" si="0"/>
        <v>0 h bin</v>
      </c>
    </row>
    <row r="15" spans="1:9" x14ac:dyDescent="0.25">
      <c r="A15" s="2" t="s">
        <v>94</v>
      </c>
      <c r="B15" s="2" t="s">
        <v>49</v>
      </c>
      <c r="C15" s="2">
        <v>17</v>
      </c>
      <c r="D15" s="2">
        <v>16</v>
      </c>
      <c r="E15" s="7">
        <f>IFERROR(CORREL('Normal Gradients'!B5:B20,'Normal Gradients'!L5:L20),"")</f>
        <v>2.8366337155060126E-2</v>
      </c>
      <c r="F15" s="7">
        <f>IFERROR(CORREL('Normal Gradients'!B5:B19,'Normal Gradients'!L6:L20),"")</f>
        <v>-0.34897285151797414</v>
      </c>
      <c r="G15" s="7">
        <f>IFERROR(CORREL('Normal Gradients'!B5:B18,'Normal Gradients'!L7:L20),"")</f>
        <v>0.31367832001696833</v>
      </c>
      <c r="H15" s="7">
        <f>IFERROR(CORREL('Normal Gradients'!B5:B17,'Normal Gradients'!L8:L20),"")</f>
        <v>-0.41862839156588372</v>
      </c>
      <c r="I15" s="2" t="str">
        <f t="shared" si="0"/>
        <v>ambiguous</v>
      </c>
    </row>
    <row r="16" spans="1:9" x14ac:dyDescent="0.25">
      <c r="A16" s="2" t="s">
        <v>94</v>
      </c>
      <c r="B16" s="2" t="s">
        <v>50</v>
      </c>
      <c r="C16" s="2">
        <v>17</v>
      </c>
      <c r="D16" s="2">
        <v>16</v>
      </c>
      <c r="E16" s="7">
        <f>IFERROR(CORREL('Normal Gradients'!B5:B20,'Normal Gradients'!M5:M20),"")</f>
        <v>0.28636122395745334</v>
      </c>
      <c r="F16" s="7">
        <f>IFERROR(CORREL('Normal Gradients'!B5:B19,'Normal Gradients'!M6:M20),"")</f>
        <v>-9.1619829949745699E-2</v>
      </c>
      <c r="G16" s="7">
        <f>IFERROR(CORREL('Normal Gradients'!B5:B18,'Normal Gradients'!M7:M20),"")</f>
        <v>2.4503816120086057E-2</v>
      </c>
      <c r="H16" s="7">
        <f>IFERROR(CORREL('Normal Gradients'!B5:B17,'Normal Gradients'!M8:M20),"")</f>
        <v>-0.17728250836491666</v>
      </c>
      <c r="I16" s="2" t="str">
        <f t="shared" si="0"/>
        <v>0 h bin</v>
      </c>
    </row>
    <row r="17" spans="1:9" x14ac:dyDescent="0.25">
      <c r="A17" s="2" t="s">
        <v>94</v>
      </c>
      <c r="B17" s="2" t="s">
        <v>51</v>
      </c>
      <c r="C17" s="2">
        <v>17</v>
      </c>
      <c r="D17" s="2">
        <v>16</v>
      </c>
      <c r="E17" s="7">
        <f>IFERROR(CORREL('Normal Gradients'!B5:B20,'Normal Gradients'!N5:N20),"")</f>
        <v>0.10180521429348581</v>
      </c>
      <c r="F17" s="7">
        <f>IFERROR(CORREL('Normal Gradients'!B5:B19,'Normal Gradients'!N6:N20),"")</f>
        <v>-0.12784377788809048</v>
      </c>
      <c r="G17" s="7">
        <f>IFERROR(CORREL('Normal Gradients'!B5:B18,'Normal Gradients'!N7:N20),"")</f>
        <v>-0.10346222784911749</v>
      </c>
      <c r="H17" s="7">
        <f>IFERROR(CORREL('Normal Gradients'!B5:B17,'Normal Gradients'!N8:N20),"")</f>
        <v>0.11150157692225435</v>
      </c>
      <c r="I17" s="2" t="str">
        <f t="shared" si="0"/>
        <v>ambiguous</v>
      </c>
    </row>
    <row r="18" spans="1:9" x14ac:dyDescent="0.25">
      <c r="A18" s="2" t="s">
        <v>94</v>
      </c>
      <c r="B18" s="2" t="s">
        <v>52</v>
      </c>
      <c r="C18" s="2">
        <v>17</v>
      </c>
      <c r="D18" s="2">
        <v>16</v>
      </c>
      <c r="E18" s="7">
        <f>IFERROR(CORREL('Normal Gradients'!B5:B20,'Normal Gradients'!O5:O20),"")</f>
        <v>2.7225843945032593E-2</v>
      </c>
      <c r="F18" s="7">
        <f>IFERROR(CORREL('Normal Gradients'!B5:B19,'Normal Gradients'!O6:O20),"")</f>
        <v>1.3478617597384353E-3</v>
      </c>
      <c r="G18" s="7">
        <f>IFERROR(CORREL('Normal Gradients'!B5:B18,'Normal Gradients'!O7:O20),"")</f>
        <v>-0.19767204165921087</v>
      </c>
      <c r="H18" s="7">
        <f>IFERROR(CORREL('Normal Gradients'!B5:B17,'Normal Gradients'!O8:O20),"")</f>
        <v>0.4097529689718975</v>
      </c>
      <c r="I18" s="2" t="str">
        <f t="shared" si="0"/>
        <v>ambiguous</v>
      </c>
    </row>
    <row r="19" spans="1:9" x14ac:dyDescent="0.25">
      <c r="A19" s="2" t="s">
        <v>94</v>
      </c>
      <c r="B19" s="2" t="s">
        <v>53</v>
      </c>
      <c r="C19" s="2">
        <v>17</v>
      </c>
      <c r="D19" s="2">
        <v>16</v>
      </c>
      <c r="E19" s="7">
        <f>IFERROR(CORREL('Normal Gradients'!B5:B20,'Normal Gradients'!P5:P20),"")</f>
        <v>0.4691385732106092</v>
      </c>
      <c r="F19" s="7">
        <f>IFERROR(CORREL('Normal Gradients'!B5:B19,'Normal Gradients'!P6:P20),"")</f>
        <v>-0.31992295076896055</v>
      </c>
      <c r="G19" s="7">
        <f>IFERROR(CORREL('Normal Gradients'!B5:B18,'Normal Gradients'!P7:P20),"")</f>
        <v>-0.12803830038132197</v>
      </c>
      <c r="H19" s="7">
        <f>IFERROR(CORREL('Normal Gradients'!B5:B17,'Normal Gradients'!P8:P20),"")</f>
        <v>-0.26645173917490977</v>
      </c>
      <c r="I19" s="2" t="str">
        <f t="shared" si="0"/>
        <v>0 h bin</v>
      </c>
    </row>
    <row r="20" spans="1:9" x14ac:dyDescent="0.25">
      <c r="A20" s="2" t="s">
        <v>94</v>
      </c>
      <c r="B20" s="2" t="s">
        <v>54</v>
      </c>
      <c r="C20" s="2">
        <v>17</v>
      </c>
      <c r="D20" s="2">
        <v>16</v>
      </c>
      <c r="E20" s="7">
        <f>IFERROR(CORREL('Normal Gradients'!B5:B20,'Normal Gradients'!Q5:Q20),"")</f>
        <v>0.11154555935753117</v>
      </c>
      <c r="F20" s="7">
        <f>IFERROR(CORREL('Normal Gradients'!B5:B19,'Normal Gradients'!Q6:Q20),"")</f>
        <v>-0.33026474658046917</v>
      </c>
      <c r="G20" s="7">
        <f>IFERROR(CORREL('Normal Gradients'!B5:B18,'Normal Gradients'!Q7:Q20),"")</f>
        <v>0.54365276004499741</v>
      </c>
      <c r="H20" s="7">
        <f>IFERROR(CORREL('Normal Gradients'!B5:B17,'Normal Gradients'!Q8:Q20),"")</f>
        <v>-0.21904078965099996</v>
      </c>
      <c r="I20" s="2" t="str">
        <f t="shared" si="0"/>
        <v>ambiguous</v>
      </c>
    </row>
    <row r="21" spans="1:9" x14ac:dyDescent="0.25">
      <c r="A21" s="2" t="s">
        <v>94</v>
      </c>
      <c r="B21" s="2" t="s">
        <v>55</v>
      </c>
      <c r="C21" s="2">
        <v>17</v>
      </c>
      <c r="D21" s="2">
        <v>16</v>
      </c>
      <c r="E21" s="7">
        <f>IFERROR(CORREL('Normal Gradients'!B5:B20,'Normal Gradients'!R5:R20),"")</f>
        <v>-0.1647773290030024</v>
      </c>
      <c r="F21" s="7">
        <f>IFERROR(CORREL('Normal Gradients'!B5:B19,'Normal Gradients'!R6:R20),"")</f>
        <v>6.558691923598732E-2</v>
      </c>
      <c r="G21" s="7">
        <f>IFERROR(CORREL('Normal Gradients'!B5:B18,'Normal Gradients'!R7:R20),"")</f>
        <v>-0.19117447648107119</v>
      </c>
      <c r="H21" s="7">
        <f>IFERROR(CORREL('Normal Gradients'!B5:B17,'Normal Gradients'!R8:R20),"")</f>
        <v>0.39014576164283465</v>
      </c>
      <c r="I21" s="2" t="str">
        <f t="shared" si="0"/>
        <v>ambiguous</v>
      </c>
    </row>
    <row r="22" spans="1:9" x14ac:dyDescent="0.25">
      <c r="A22" s="2" t="s">
        <v>94</v>
      </c>
      <c r="B22" s="2" t="s">
        <v>56</v>
      </c>
      <c r="C22" s="2">
        <v>17</v>
      </c>
      <c r="D22" s="2">
        <v>16</v>
      </c>
      <c r="E22" s="7">
        <f>IFERROR(CORREL('Normal Gradients'!B5:B20,'Normal Gradients'!S5:S20),"")</f>
        <v>3.5995640655454712E-4</v>
      </c>
      <c r="F22" s="7">
        <f>IFERROR(CORREL('Normal Gradients'!B5:B19,'Normal Gradients'!S6:S20),"")</f>
        <v>0.14326035100935797</v>
      </c>
      <c r="G22" s="7">
        <f>IFERROR(CORREL('Normal Gradients'!B5:B18,'Normal Gradients'!S7:S20),"")</f>
        <v>-2.6009910846444564E-2</v>
      </c>
      <c r="H22" s="7">
        <f>IFERROR(CORREL('Normal Gradients'!B5:B17,'Normal Gradients'!S8:S20),"")</f>
        <v>1.025464967934449E-2</v>
      </c>
      <c r="I22" s="2" t="str">
        <f t="shared" si="0"/>
        <v>ambiguous</v>
      </c>
    </row>
    <row r="23" spans="1:9" x14ac:dyDescent="0.25">
      <c r="A23" s="2" t="s">
        <v>94</v>
      </c>
      <c r="B23" s="2" t="s">
        <v>57</v>
      </c>
      <c r="C23" s="2">
        <v>17</v>
      </c>
      <c r="D23" s="2">
        <v>16</v>
      </c>
      <c r="E23" s="7">
        <f>IFERROR(CORREL('Normal Gradients'!B5:B20,'Normal Gradients'!T5:T20),"")</f>
        <v>0.27240072933571602</v>
      </c>
      <c r="F23" s="7">
        <f>IFERROR(CORREL('Normal Gradients'!B5:B19,'Normal Gradients'!T6:T20),"")</f>
        <v>-0.23666412400380551</v>
      </c>
      <c r="G23" s="7">
        <f>IFERROR(CORREL('Normal Gradients'!B5:B18,'Normal Gradients'!T7:T20),"")</f>
        <v>-6.6882126452500589E-3</v>
      </c>
      <c r="H23" s="7">
        <f>IFERROR(CORREL('Normal Gradients'!B5:B17,'Normal Gradients'!T8:T20),"")</f>
        <v>-0.56166640689441738</v>
      </c>
      <c r="I23" s="2" t="str">
        <f t="shared" si="0"/>
        <v>ambiguous</v>
      </c>
    </row>
    <row r="24" spans="1:9" x14ac:dyDescent="0.25">
      <c r="A24" s="2" t="s">
        <v>94</v>
      </c>
      <c r="B24" s="2" t="s">
        <v>58</v>
      </c>
      <c r="C24" s="2">
        <v>17</v>
      </c>
      <c r="D24" s="2">
        <v>16</v>
      </c>
      <c r="E24" s="7" t="str">
        <f>IFERROR(CORREL('Normal Gradients'!B5:B20,'Normal Gradients'!U5:U20),"")</f>
        <v/>
      </c>
      <c r="F24" s="7" t="str">
        <f>IFERROR(CORREL('Normal Gradients'!B5:B19,'Normal Gradients'!U6:U20),"")</f>
        <v/>
      </c>
      <c r="G24" s="7" t="str">
        <f>IFERROR(CORREL('Normal Gradients'!B5:B18,'Normal Gradients'!U7:U20),"")</f>
        <v/>
      </c>
      <c r="H24" s="7" t="str">
        <f>IFERROR(CORREL('Normal Gradients'!B5:B17,'Normal Gradients'!U8:U20),"")</f>
        <v/>
      </c>
      <c r="I24" s="2" t="str">
        <f t="shared" si="0"/>
        <v>INSUFFICIENT</v>
      </c>
    </row>
    <row r="25" spans="1:9" x14ac:dyDescent="0.25">
      <c r="A25" s="2" t="s">
        <v>94</v>
      </c>
      <c r="B25" s="2" t="s">
        <v>59</v>
      </c>
      <c r="C25" s="2">
        <v>17</v>
      </c>
      <c r="D25" s="2">
        <v>16</v>
      </c>
      <c r="E25" s="7">
        <f>IFERROR(CORREL('Normal Gradients'!B5:B20,'Normal Gradients'!V5:V20),"")</f>
        <v>0.35762027706480792</v>
      </c>
      <c r="F25" s="7">
        <f>IFERROR(CORREL('Normal Gradients'!B5:B19,'Normal Gradients'!V6:V20),"")</f>
        <v>0.13697532788136763</v>
      </c>
      <c r="G25" s="7">
        <f>IFERROR(CORREL('Normal Gradients'!B5:B18,'Normal Gradients'!V7:V20),"")</f>
        <v>-0.17529985057402561</v>
      </c>
      <c r="H25" s="7">
        <f>IFERROR(CORREL('Normal Gradients'!B5:B17,'Normal Gradients'!V8:V20),"")</f>
        <v>-0.37574068122198168</v>
      </c>
      <c r="I25" s="2" t="str">
        <f t="shared" si="0"/>
        <v>ambiguous</v>
      </c>
    </row>
    <row r="26" spans="1:9" x14ac:dyDescent="0.25">
      <c r="A26" s="2" t="s">
        <v>94</v>
      </c>
      <c r="B26" s="2" t="s">
        <v>60</v>
      </c>
      <c r="C26" s="2">
        <v>17</v>
      </c>
      <c r="D26" s="2">
        <v>16</v>
      </c>
      <c r="E26" s="7">
        <f>IFERROR(CORREL('Normal Gradients'!B5:B20,'Normal Gradients'!W5:W20),"")</f>
        <v>0.58803097556692729</v>
      </c>
      <c r="F26" s="7">
        <f>IFERROR(CORREL('Normal Gradients'!B5:B19,'Normal Gradients'!W6:W20),"")</f>
        <v>-0.66239241664827153</v>
      </c>
      <c r="G26" s="7">
        <f>IFERROR(CORREL('Normal Gradients'!B5:B18,'Normal Gradients'!W7:W20),"")</f>
        <v>0.1746216359579856</v>
      </c>
      <c r="H26" s="7">
        <f>IFERROR(CORREL('Normal Gradients'!B5:B17,'Normal Gradients'!W8:W20),"")</f>
        <v>-0.26020893156908781</v>
      </c>
      <c r="I26" s="2" t="str">
        <f t="shared" si="0"/>
        <v>ambiguous</v>
      </c>
    </row>
    <row r="27" spans="1:9" x14ac:dyDescent="0.25">
      <c r="A27" s="2" t="s">
        <v>94</v>
      </c>
      <c r="B27" s="2" t="s">
        <v>61</v>
      </c>
      <c r="C27" s="2">
        <v>17</v>
      </c>
      <c r="D27" s="2">
        <v>16</v>
      </c>
      <c r="E27" s="7">
        <f>IFERROR(CORREL('Normal Gradients'!B5:B20,'Normal Gradients'!X5:X20),"")</f>
        <v>0.62090760217169894</v>
      </c>
      <c r="F27" s="7">
        <f>IFERROR(CORREL('Normal Gradients'!B5:B19,'Normal Gradients'!X6:X20),"")</f>
        <v>1.3485836352348507E-2</v>
      </c>
      <c r="G27" s="7">
        <f>IFERROR(CORREL('Normal Gradients'!B5:B18,'Normal Gradients'!X7:X20),"")</f>
        <v>0.10906567367266813</v>
      </c>
      <c r="H27" s="7">
        <f>IFERROR(CORREL('Normal Gradients'!B5:B17,'Normal Gradients'!X8:X20),"")</f>
        <v>-0.34211128549382686</v>
      </c>
      <c r="I27" s="2" t="str">
        <f t="shared" si="0"/>
        <v>0 h bin</v>
      </c>
    </row>
    <row r="28" spans="1:9" x14ac:dyDescent="0.25">
      <c r="A28" s="2" t="s">
        <v>94</v>
      </c>
      <c r="B28" s="2" t="s">
        <v>62</v>
      </c>
      <c r="C28" s="2">
        <v>17</v>
      </c>
      <c r="D28" s="2">
        <v>16</v>
      </c>
      <c r="E28" s="7">
        <f>IFERROR(CORREL('Normal Gradients'!B5:B20,'Normal Gradients'!Y5:Y20),"")</f>
        <v>0.11738978065400635</v>
      </c>
      <c r="F28" s="7">
        <f>IFERROR(CORREL('Normal Gradients'!B5:B19,'Normal Gradients'!Y6:Y20),"")</f>
        <v>-0.14154921508413618</v>
      </c>
      <c r="G28" s="7">
        <f>IFERROR(CORREL('Normal Gradients'!B5:B18,'Normal Gradients'!Y7:Y20),"")</f>
        <v>0.15174456855325141</v>
      </c>
      <c r="H28" s="7">
        <f>IFERROR(CORREL('Normal Gradients'!B5:B17,'Normal Gradients'!Y8:Y20),"")</f>
        <v>-0.67369089047974429</v>
      </c>
      <c r="I28" s="2" t="str">
        <f t="shared" si="0"/>
        <v>ambiguous</v>
      </c>
    </row>
    <row r="29" spans="1:9" x14ac:dyDescent="0.25">
      <c r="A29" s="2" t="s">
        <v>94</v>
      </c>
      <c r="B29" s="2" t="s">
        <v>63</v>
      </c>
      <c r="C29" s="2">
        <v>17</v>
      </c>
      <c r="D29" s="2">
        <v>16</v>
      </c>
      <c r="E29" s="7">
        <f>IFERROR(CORREL('Normal Gradients'!B5:B20,'Normal Gradients'!Z5:Z20),"")</f>
        <v>0.18410448899062848</v>
      </c>
      <c r="F29" s="7">
        <f>IFERROR(CORREL('Normal Gradients'!B5:B19,'Normal Gradients'!Z6:Z20),"")</f>
        <v>-6.0757634908437393E-2</v>
      </c>
      <c r="G29" s="7">
        <f>IFERROR(CORREL('Normal Gradients'!B5:B18,'Normal Gradients'!Z7:Z20),"")</f>
        <v>-0.22734399788453102</v>
      </c>
      <c r="H29" s="7">
        <f>IFERROR(CORREL('Normal Gradients'!B5:B17,'Normal Gradients'!Z8:Z20),"")</f>
        <v>-0.26883764853781128</v>
      </c>
      <c r="I29" s="2" t="str">
        <f t="shared" si="0"/>
        <v>ambiguous</v>
      </c>
    </row>
    <row r="30" spans="1:9" x14ac:dyDescent="0.25">
      <c r="A30" s="2" t="s">
        <v>94</v>
      </c>
      <c r="B30" s="2" t="s">
        <v>64</v>
      </c>
      <c r="C30" s="2">
        <v>17</v>
      </c>
      <c r="D30" s="2">
        <v>16</v>
      </c>
      <c r="E30" s="7">
        <f>IFERROR(CORREL('Normal Gradients'!B5:B20,'Normal Gradients'!AA5:AA20),"")</f>
        <v>0.23916391198192116</v>
      </c>
      <c r="F30" s="7">
        <f>IFERROR(CORREL('Normal Gradients'!B5:B19,'Normal Gradients'!AA6:AA20),"")</f>
        <v>-0.24797717600973668</v>
      </c>
      <c r="G30" s="7">
        <f>IFERROR(CORREL('Normal Gradients'!B5:B18,'Normal Gradients'!AA7:AA20),"")</f>
        <v>-2.8911717933090037E-3</v>
      </c>
      <c r="H30" s="7">
        <f>IFERROR(CORREL('Normal Gradients'!B5:B17,'Normal Gradients'!AA8:AA20),"")</f>
        <v>-0.4176635416243043</v>
      </c>
      <c r="I30" s="2" t="str">
        <f t="shared" si="0"/>
        <v>ambiguous</v>
      </c>
    </row>
    <row r="31" spans="1:9" x14ac:dyDescent="0.25">
      <c r="A31" s="2" t="s">
        <v>94</v>
      </c>
      <c r="B31" s="2" t="s">
        <v>65</v>
      </c>
      <c r="C31" s="2">
        <v>17</v>
      </c>
      <c r="D31" s="2">
        <v>16</v>
      </c>
      <c r="E31" s="7">
        <f>IFERROR(CORREL('Normal Gradients'!B5:B20,'Normal Gradients'!AB5:AB20),"")</f>
        <v>0.47970750913617077</v>
      </c>
      <c r="F31" s="7">
        <f>IFERROR(CORREL('Normal Gradients'!B5:B19,'Normal Gradients'!AB6:AB20),"")</f>
        <v>-0.41536157364050225</v>
      </c>
      <c r="G31" s="7">
        <f>IFERROR(CORREL('Normal Gradients'!B5:B18,'Normal Gradients'!AB7:AB20),"")</f>
        <v>-0.17906976121458634</v>
      </c>
      <c r="H31" s="7">
        <f>IFERROR(CORREL('Normal Gradients'!B5:B17,'Normal Gradients'!AB8:AB20),"")</f>
        <v>0.11832161650521017</v>
      </c>
      <c r="I31" s="2" t="str">
        <f t="shared" si="0"/>
        <v>0 h bin</v>
      </c>
    </row>
    <row r="32" spans="1:9" x14ac:dyDescent="0.25">
      <c r="A32" s="2" t="s">
        <v>94</v>
      </c>
      <c r="B32" s="2" t="s">
        <v>66</v>
      </c>
      <c r="C32" s="2">
        <v>17</v>
      </c>
      <c r="D32" s="2">
        <v>16</v>
      </c>
      <c r="E32" s="7">
        <f>IFERROR(CORREL('Normal Gradients'!B5:B20,'Normal Gradients'!AC5:AC20),"")</f>
        <v>0.29138977896896345</v>
      </c>
      <c r="F32" s="7">
        <f>IFERROR(CORREL('Normal Gradients'!B5:B19,'Normal Gradients'!AC6:AC20),"")</f>
        <v>-7.3374833087813937E-2</v>
      </c>
      <c r="G32" s="7">
        <f>IFERROR(CORREL('Normal Gradients'!B5:B18,'Normal Gradients'!AC7:AC20),"")</f>
        <v>-0.109099431177726</v>
      </c>
      <c r="H32" s="7">
        <f>IFERROR(CORREL('Normal Gradients'!B5:B17,'Normal Gradients'!AC8:AC20),"")</f>
        <v>-8.0833817127249172E-2</v>
      </c>
      <c r="I32" s="2" t="str">
        <f t="shared" si="0"/>
        <v>0 h bin</v>
      </c>
    </row>
    <row r="33" spans="1:9" x14ac:dyDescent="0.25">
      <c r="A33" s="2" t="s">
        <v>94</v>
      </c>
      <c r="B33" s="2" t="s">
        <v>67</v>
      </c>
      <c r="C33" s="2">
        <v>17</v>
      </c>
      <c r="D33" s="2">
        <v>16</v>
      </c>
      <c r="E33" s="7">
        <f>IFERROR(CORREL('Normal Gradients'!B5:B20,'Normal Gradients'!AD5:AD20),"")</f>
        <v>-0.13810562429883791</v>
      </c>
      <c r="F33" s="7">
        <f>IFERROR(CORREL('Normal Gradients'!B5:B19,'Normal Gradients'!AD6:AD20),"")</f>
        <v>0.24183022699558485</v>
      </c>
      <c r="G33" s="7">
        <f>IFERROR(CORREL('Normal Gradients'!B5:B18,'Normal Gradients'!AD7:AD20),"")</f>
        <v>-0.31212606493590433</v>
      </c>
      <c r="H33" s="7">
        <f>IFERROR(CORREL('Normal Gradients'!B5:B17,'Normal Gradients'!AD8:AD20),"")</f>
        <v>0.34211128549381964</v>
      </c>
      <c r="I33" s="2" t="str">
        <f t="shared" si="0"/>
        <v>ambiguous</v>
      </c>
    </row>
    <row r="34" spans="1:9" x14ac:dyDescent="0.25">
      <c r="A34" s="2" t="s">
        <v>94</v>
      </c>
      <c r="B34" s="2" t="s">
        <v>68</v>
      </c>
      <c r="C34" s="2">
        <v>17</v>
      </c>
      <c r="D34" s="2">
        <v>16</v>
      </c>
      <c r="E34" s="7">
        <f>IFERROR(CORREL('Normal Gradients'!B5:B20,'Normal Gradients'!AE5:AE20),"")</f>
        <v>0.11001631529768031</v>
      </c>
      <c r="F34" s="7">
        <f>IFERROR(CORREL('Normal Gradients'!B5:B19,'Normal Gradients'!AE6:AE20),"")</f>
        <v>-0.21232178619812456</v>
      </c>
      <c r="G34" s="7">
        <f>IFERROR(CORREL('Normal Gradients'!B5:B18,'Normal Gradients'!AE7:AE20),"")</f>
        <v>0.16835054404933741</v>
      </c>
      <c r="H34" s="7">
        <f>IFERROR(CORREL('Normal Gradients'!B5:B17,'Normal Gradients'!AE8:AE20),"")</f>
        <v>-0.28051528015251898</v>
      </c>
      <c r="I34" s="2" t="str">
        <f t="shared" si="0"/>
        <v>ambiguous</v>
      </c>
    </row>
    <row r="35" spans="1:9" x14ac:dyDescent="0.25">
      <c r="A35" s="2" t="s">
        <v>94</v>
      </c>
      <c r="B35" s="2" t="s">
        <v>69</v>
      </c>
      <c r="C35" s="2">
        <v>17</v>
      </c>
      <c r="D35" s="2">
        <v>16</v>
      </c>
      <c r="E35" s="7">
        <f>IFERROR(CORREL('Normal Gradients'!B5:B20,'Normal Gradients'!AF5:AF20),"")</f>
        <v>0.79842283729735886</v>
      </c>
      <c r="F35" s="7">
        <f>IFERROR(CORREL('Normal Gradients'!B5:B19,'Normal Gradients'!AF6:AF20),"")</f>
        <v>-0.55149159834047101</v>
      </c>
      <c r="G35" s="7">
        <f>IFERROR(CORREL('Normal Gradients'!B5:B18,'Normal Gradients'!AF7:AF20),"")</f>
        <v>0.27905451476899451</v>
      </c>
      <c r="H35" s="7">
        <f>IFERROR(CORREL('Normal Gradients'!B5:B17,'Normal Gradients'!AF8:AF20),"")</f>
        <v>-0.40558737300591075</v>
      </c>
      <c r="I35" s="2" t="str">
        <f t="shared" si="0"/>
        <v>0 h bin</v>
      </c>
    </row>
    <row r="36" spans="1:9" x14ac:dyDescent="0.25">
      <c r="A36" s="2" t="s">
        <v>94</v>
      </c>
      <c r="B36" s="2" t="s">
        <v>70</v>
      </c>
      <c r="C36" s="2">
        <v>17</v>
      </c>
      <c r="D36" s="2">
        <v>16</v>
      </c>
      <c r="E36" s="7">
        <f>IFERROR(CORREL('Normal Gradients'!B5:B20,'Normal Gradients'!AG5:AG20),"")</f>
        <v>0.29364703771792128</v>
      </c>
      <c r="F36" s="7">
        <f>IFERROR(CORREL('Normal Gradients'!B5:B19,'Normal Gradients'!AG6:AG20),"")</f>
        <v>4.2756765981080684E-2</v>
      </c>
      <c r="G36" s="7">
        <f>IFERROR(CORREL('Normal Gradients'!B5:B18,'Normal Gradients'!AG7:AG20),"")</f>
        <v>-0.19808436201220805</v>
      </c>
      <c r="H36" s="7">
        <f>IFERROR(CORREL('Normal Gradients'!B5:B17,'Normal Gradients'!AG8:AG20),"")</f>
        <v>0.29805540238340389</v>
      </c>
      <c r="I36" s="2" t="str">
        <f t="shared" si="0"/>
        <v>ambiguous</v>
      </c>
    </row>
    <row r="37" spans="1:9" x14ac:dyDescent="0.25">
      <c r="A37" s="2" t="s">
        <v>94</v>
      </c>
      <c r="B37" s="2" t="s">
        <v>71</v>
      </c>
      <c r="C37" s="2">
        <v>17</v>
      </c>
      <c r="D37" s="2">
        <v>16</v>
      </c>
      <c r="E37" s="7">
        <f>IFERROR(CORREL('Normal Gradients'!B5:B20,'Normal Gradients'!AH5:AH20),"")</f>
        <v>7.8256590564641293E-2</v>
      </c>
      <c r="F37" s="7">
        <f>IFERROR(CORREL('Normal Gradients'!B5:B19,'Normal Gradients'!AH6:AH20),"")</f>
        <v>4.4994712069017707E-2</v>
      </c>
      <c r="G37" s="7">
        <f>IFERROR(CORREL('Normal Gradients'!B5:B18,'Normal Gradients'!AH7:AH20),"")</f>
        <v>-0.16829533148319398</v>
      </c>
      <c r="H37" s="7">
        <f>IFERROR(CORREL('Normal Gradients'!B5:B17,'Normal Gradients'!AH8:AH20),"")</f>
        <v>0.41369391138989708</v>
      </c>
      <c r="I37" s="2" t="str">
        <f t="shared" ref="I37:I68" si="1">IF(OR(D37&lt;7,COUNT(E37:H37)&lt;4),"INSUFFICIENT",IF(ABS(E37)&gt;=MAX(ABS(F37),ABS(G37),ABS(H37)),"0 h bin","ambiguous"))</f>
        <v>ambiguous</v>
      </c>
    </row>
    <row r="38" spans="1:9" x14ac:dyDescent="0.25">
      <c r="A38" s="2" t="s">
        <v>95</v>
      </c>
      <c r="B38" s="2" t="s">
        <v>39</v>
      </c>
      <c r="C38" s="2">
        <v>7</v>
      </c>
      <c r="D38" s="2">
        <v>6</v>
      </c>
      <c r="E38" s="7">
        <f>IFERROR(CORREL('Startup Gradients'!B5:B10,'Startup Gradients'!B5:B10),"")</f>
        <v>1.0000000000000002</v>
      </c>
      <c r="F38" s="7">
        <f>IFERROR(CORREL('Startup Gradients'!B5:B9,'Startup Gradients'!B6:B10),"")</f>
        <v>-0.22779235389464372</v>
      </c>
      <c r="G38" s="7">
        <f>IFERROR(CORREL('Startup Gradients'!B5:B8,'Startup Gradients'!B7:B10),"")</f>
        <v>0.64033662500503719</v>
      </c>
      <c r="H38" s="7">
        <f>IFERROR(CORREL('Startup Gradients'!B5:B7,'Startup Gradients'!B8:B10),"")</f>
        <v>0.99873281126283986</v>
      </c>
      <c r="I38" s="2" t="str">
        <f t="shared" si="1"/>
        <v>INSUFFICIENT</v>
      </c>
    </row>
    <row r="39" spans="1:9" x14ac:dyDescent="0.25">
      <c r="A39" s="2" t="s">
        <v>95</v>
      </c>
      <c r="B39" s="2" t="s">
        <v>57</v>
      </c>
      <c r="C39" s="2">
        <v>7</v>
      </c>
      <c r="D39" s="2">
        <v>6</v>
      </c>
      <c r="E39" s="7">
        <f>IFERROR(CORREL('Startup Gradients'!B5:B10,'Startup Gradients'!C5:C10),"")</f>
        <v>0.23665614667063778</v>
      </c>
      <c r="F39" s="7">
        <f>IFERROR(CORREL('Startup Gradients'!B5:B9,'Startup Gradients'!C6:C10),"")</f>
        <v>0.82817746134963888</v>
      </c>
      <c r="G39" s="7">
        <f>IFERROR(CORREL('Startup Gradients'!B5:B8,'Startup Gradients'!C7:C10),"")</f>
        <v>0.88683467012602168</v>
      </c>
      <c r="H39" s="7">
        <f>IFERROR(CORREL('Startup Gradients'!B5:B7,'Startup Gradients'!C8:C10),"")</f>
        <v>0.94297390367519607</v>
      </c>
      <c r="I39" s="2" t="str">
        <f t="shared" si="1"/>
        <v>INSUFFICIENT</v>
      </c>
    </row>
    <row r="40" spans="1:9" x14ac:dyDescent="0.25">
      <c r="A40" s="2" t="s">
        <v>95</v>
      </c>
      <c r="B40" s="2" t="s">
        <v>58</v>
      </c>
      <c r="C40" s="2">
        <v>7</v>
      </c>
      <c r="D40" s="2">
        <v>6</v>
      </c>
      <c r="E40" s="7">
        <f>IFERROR(CORREL('Startup Gradients'!B5:B10,'Startup Gradients'!D5:D10),"")</f>
        <v>-0.93743643127644949</v>
      </c>
      <c r="F40" s="7">
        <f>IFERROR(CORREL('Startup Gradients'!B5:B9,'Startup Gradients'!D6:D10),"")</f>
        <v>-0.28346932799681507</v>
      </c>
      <c r="G40" s="7">
        <f>IFERROR(CORREL('Startup Gradients'!B5:B8,'Startup Gradients'!D7:D10),"")</f>
        <v>-1.1503411025427648E-2</v>
      </c>
      <c r="H40" s="7">
        <f>IFERROR(CORREL('Startup Gradients'!B5:B7,'Startup Gradients'!D8:D10),"")</f>
        <v>-0.85545341251701201</v>
      </c>
      <c r="I40" s="2" t="str">
        <f t="shared" si="1"/>
        <v>INSUFFICIENT</v>
      </c>
    </row>
    <row r="41" spans="1:9" x14ac:dyDescent="0.25">
      <c r="A41" s="2" t="s">
        <v>95</v>
      </c>
      <c r="B41" s="2" t="s">
        <v>69</v>
      </c>
      <c r="C41" s="2">
        <v>7</v>
      </c>
      <c r="D41" s="2">
        <v>6</v>
      </c>
      <c r="E41" s="7">
        <f>IFERROR(CORREL('Startup Gradients'!B5:B10,'Startup Gradients'!E5:E10),"")</f>
        <v>0.99992773226801701</v>
      </c>
      <c r="F41" s="7">
        <f>IFERROR(CORREL('Startup Gradients'!B5:B9,'Startup Gradients'!E6:E10),"")</f>
        <v>-0.23359333927578702</v>
      </c>
      <c r="G41" s="7">
        <f>IFERROR(CORREL('Startup Gradients'!B5:B8,'Startup Gradients'!E7:E10),"")</f>
        <v>0.64966741546558526</v>
      </c>
      <c r="H41" s="7">
        <f>IFERROR(CORREL('Startup Gradients'!B5:B7,'Startup Gradients'!E8:E10),"")</f>
        <v>0.99798271481482859</v>
      </c>
      <c r="I41" s="2" t="str">
        <f t="shared" si="1"/>
        <v>INSUFFICIENT</v>
      </c>
    </row>
    <row r="42" spans="1:9" x14ac:dyDescent="0.25">
      <c r="A42" s="2" t="s">
        <v>95</v>
      </c>
      <c r="B42" s="2" t="s">
        <v>59</v>
      </c>
      <c r="C42" s="2">
        <v>7</v>
      </c>
      <c r="D42" s="2">
        <v>6</v>
      </c>
      <c r="E42" s="7">
        <f>IFERROR(CORREL('Startup Gradients'!B5:B10,'Startup Gradients'!F5:F10),"")</f>
        <v>0.45516904625680676</v>
      </c>
      <c r="F42" s="7">
        <f>IFERROR(CORREL('Startup Gradients'!B5:B9,'Startup Gradients'!F6:F10),"")</f>
        <v>0.55531393554799302</v>
      </c>
      <c r="G42" s="7">
        <f>IFERROR(CORREL('Startup Gradients'!B5:B8,'Startup Gradients'!F7:F10),"")</f>
        <v>0.90098616210706783</v>
      </c>
      <c r="H42" s="7">
        <f>IFERROR(CORREL('Startup Gradients'!B5:B7,'Startup Gradients'!F8:F10),"")</f>
        <v>0.88954150374562901</v>
      </c>
      <c r="I42" s="2" t="str">
        <f t="shared" si="1"/>
        <v>INSUFFICIENT</v>
      </c>
    </row>
    <row r="43" spans="1:9" x14ac:dyDescent="0.25">
      <c r="A43" s="2" t="s">
        <v>95</v>
      </c>
      <c r="B43" s="2" t="s">
        <v>61</v>
      </c>
      <c r="C43" s="2">
        <v>7</v>
      </c>
      <c r="D43" s="2">
        <v>6</v>
      </c>
      <c r="E43" s="7">
        <f>IFERROR(CORREL('Startup Gradients'!B5:B10,'Startup Gradients'!G5:G10),"")</f>
        <v>0.98641933287532391</v>
      </c>
      <c r="F43" s="7">
        <f>IFERROR(CORREL('Startup Gradients'!B5:B9,'Startup Gradients'!G6:G10),"")</f>
        <v>-0.77957250441196546</v>
      </c>
      <c r="G43" s="7">
        <f>IFERROR(CORREL('Startup Gradients'!B5:B8,'Startup Gradients'!G7:G10),"")</f>
        <v>0.9594595795068207</v>
      </c>
      <c r="H43" s="7">
        <f>IFERROR(CORREL('Startup Gradients'!B5:B7,'Startup Gradients'!G8:G10),"")</f>
        <v>0.98307268842834161</v>
      </c>
      <c r="I43" s="2" t="str">
        <f t="shared" si="1"/>
        <v>INSUFFICIENT</v>
      </c>
    </row>
    <row r="44" spans="1:9" x14ac:dyDescent="0.25">
      <c r="A44" s="2" t="s">
        <v>95</v>
      </c>
      <c r="B44" s="2" t="s">
        <v>75</v>
      </c>
      <c r="C44" s="2">
        <v>7</v>
      </c>
      <c r="D44" s="2">
        <v>6</v>
      </c>
      <c r="E44" s="7">
        <f>IFERROR(CORREL('Startup Gradients'!B5:B10,'Startup Gradients'!H5:H10),"")</f>
        <v>0.9276396635212506</v>
      </c>
      <c r="F44" s="7">
        <f>IFERROR(CORREL('Startup Gradients'!B5:B9,'Startup Gradients'!H6:H10),"")</f>
        <v>2.6591996570259891E-2</v>
      </c>
      <c r="G44" s="7">
        <f>IFERROR(CORREL('Startup Gradients'!B5:B8,'Startup Gradients'!H7:H10),"")</f>
        <v>-0.89958292597726186</v>
      </c>
      <c r="H44" s="7">
        <f>IFERROR(CORREL('Startup Gradients'!B5:B7,'Startup Gradients'!H8:H10),"")</f>
        <v>0.9825396955923571</v>
      </c>
      <c r="I44" s="2" t="str">
        <f t="shared" si="1"/>
        <v>INSUFFICIENT</v>
      </c>
    </row>
    <row r="45" spans="1:9" x14ac:dyDescent="0.25">
      <c r="A45" s="2" t="s">
        <v>95</v>
      </c>
      <c r="B45" s="2" t="s">
        <v>47</v>
      </c>
      <c r="C45" s="2">
        <v>7</v>
      </c>
      <c r="D45" s="2">
        <v>6</v>
      </c>
      <c r="E45" s="7">
        <f>IFERROR(CORREL('Startup Gradients'!B5:B10,'Startup Gradients'!I5:I10),"")</f>
        <v>1.5108043066656749E-2</v>
      </c>
      <c r="F45" s="7">
        <f>IFERROR(CORREL('Startup Gradients'!B5:B9,'Startup Gradients'!I6:I10),"")</f>
        <v>0.88874391358077864</v>
      </c>
      <c r="G45" s="7">
        <f>IFERROR(CORREL('Startup Gradients'!B5:B8,'Startup Gradients'!I7:I10),"")</f>
        <v>0.50055405054669388</v>
      </c>
      <c r="H45" s="7">
        <f>IFERROR(CORREL('Startup Gradients'!B5:B7,'Startup Gradients'!I8:I10),"")</f>
        <v>0.21945932821264405</v>
      </c>
      <c r="I45" s="2" t="str">
        <f t="shared" si="1"/>
        <v>INSUFFICIENT</v>
      </c>
    </row>
    <row r="46" spans="1:9" x14ac:dyDescent="0.25">
      <c r="A46" s="2" t="s">
        <v>95</v>
      </c>
      <c r="B46" s="2" t="s">
        <v>46</v>
      </c>
      <c r="C46" s="2">
        <v>7</v>
      </c>
      <c r="D46" s="2">
        <v>6</v>
      </c>
      <c r="E46" s="7">
        <f>IFERROR(CORREL('Startup Gradients'!B5:B10,'Startup Gradients'!J5:J10),"")</f>
        <v>0.92544665830962536</v>
      </c>
      <c r="F46" s="7">
        <f>IFERROR(CORREL('Startup Gradients'!B5:B9,'Startup Gradients'!J6:J10),"")</f>
        <v>9.5364060117711674E-2</v>
      </c>
      <c r="G46" s="7">
        <f>IFERROR(CORREL('Startup Gradients'!B5:B8,'Startup Gradients'!J7:J10),"")</f>
        <v>-0.87583929014212636</v>
      </c>
      <c r="H46" s="7">
        <f>IFERROR(CORREL('Startup Gradients'!B5:B7,'Startup Gradients'!J8:J10),"")</f>
        <v>0.98057767567670318</v>
      </c>
      <c r="I46" s="2" t="str">
        <f t="shared" si="1"/>
        <v>INSUFFICIENT</v>
      </c>
    </row>
    <row r="47" spans="1:9" x14ac:dyDescent="0.25">
      <c r="A47" s="2" t="s">
        <v>95</v>
      </c>
      <c r="B47" s="2" t="s">
        <v>50</v>
      </c>
      <c r="C47" s="2">
        <v>7</v>
      </c>
      <c r="D47" s="2">
        <v>6</v>
      </c>
      <c r="E47" s="7">
        <f>IFERROR(CORREL('Startup Gradients'!B5:B10,'Startup Gradients'!K5:K10),"")</f>
        <v>-9.7945020061246293E-2</v>
      </c>
      <c r="F47" s="7">
        <f>IFERROR(CORREL('Startup Gradients'!B5:B9,'Startup Gradients'!K6:K10),"")</f>
        <v>0.95475345858451888</v>
      </c>
      <c r="G47" s="7">
        <f>IFERROR(CORREL('Startup Gradients'!B5:B8,'Startup Gradients'!K7:K10),"")</f>
        <v>0.44780810654324987</v>
      </c>
      <c r="H47" s="7">
        <f>IFERROR(CORREL('Startup Gradients'!B5:B7,'Startup Gradients'!K8:K10),"")</f>
        <v>0.37659692557402913</v>
      </c>
      <c r="I47" s="2" t="str">
        <f t="shared" si="1"/>
        <v>INSUFFICIENT</v>
      </c>
    </row>
    <row r="48" spans="1:9" x14ac:dyDescent="0.25">
      <c r="A48" s="2" t="s">
        <v>95</v>
      </c>
      <c r="B48" s="2" t="s">
        <v>51</v>
      </c>
      <c r="C48" s="2">
        <v>7</v>
      </c>
      <c r="D48" s="2">
        <v>6</v>
      </c>
      <c r="E48" s="7">
        <f>IFERROR(CORREL('Startup Gradients'!B5:B10,'Startup Gradients'!L5:L10),"")</f>
        <v>0.83021278936250942</v>
      </c>
      <c r="F48" s="7">
        <f>IFERROR(CORREL('Startup Gradients'!B5:B9,'Startup Gradients'!L6:L10),"")</f>
        <v>-0.63067505365220622</v>
      </c>
      <c r="G48" s="7">
        <f>IFERROR(CORREL('Startup Gradients'!B5:B8,'Startup Gradients'!L7:L10),"")</f>
        <v>0.2787163284072337</v>
      </c>
      <c r="H48" s="7">
        <f>IFERROR(CORREL('Startup Gradients'!B5:B7,'Startup Gradients'!L8:L10),"")</f>
        <v>0.99936768733553727</v>
      </c>
      <c r="I48" s="2" t="str">
        <f t="shared" si="1"/>
        <v>INSUFFICIENT</v>
      </c>
    </row>
    <row r="49" spans="1:9" x14ac:dyDescent="0.25">
      <c r="A49" s="2" t="s">
        <v>95</v>
      </c>
      <c r="B49" s="2" t="s">
        <v>42</v>
      </c>
      <c r="C49" s="2">
        <v>7</v>
      </c>
      <c r="D49" s="2">
        <v>6</v>
      </c>
      <c r="E49" s="7">
        <f>IFERROR(CORREL('Startup Gradients'!B5:B10,'Startup Gradients'!M5:M10),"")</f>
        <v>0.88306385002876209</v>
      </c>
      <c r="F49" s="7">
        <f>IFERROR(CORREL('Startup Gradients'!B5:B9,'Startup Gradients'!M6:M10),"")</f>
        <v>-0.1144628937570388</v>
      </c>
      <c r="G49" s="7">
        <f>IFERROR(CORREL('Startup Gradients'!B5:B8,'Startup Gradients'!M7:M10),"")</f>
        <v>-0.42036478736440214</v>
      </c>
      <c r="H49" s="7">
        <f>IFERROR(CORREL('Startup Gradients'!B5:B7,'Startup Gradients'!M8:M10),"")</f>
        <v>0.16133741847410929</v>
      </c>
      <c r="I49" s="2" t="str">
        <f t="shared" si="1"/>
        <v>INSUFFICIENT</v>
      </c>
    </row>
    <row r="50" spans="1:9" x14ac:dyDescent="0.25">
      <c r="A50" s="2" t="s">
        <v>95</v>
      </c>
      <c r="B50" s="2" t="s">
        <v>53</v>
      </c>
      <c r="C50" s="2">
        <v>7</v>
      </c>
      <c r="D50" s="2">
        <v>6</v>
      </c>
      <c r="E50" s="7">
        <f>IFERROR(CORREL('Startup Gradients'!B5:B10,'Startup Gradients'!N5:N10),"")</f>
        <v>0.9431983999957726</v>
      </c>
      <c r="F50" s="7">
        <f>IFERROR(CORREL('Startup Gradients'!B5:B9,'Startup Gradients'!N6:N10),"")</f>
        <v>0.89374176473027367</v>
      </c>
      <c r="G50" s="7">
        <f>IFERROR(CORREL('Startup Gradients'!B5:B8,'Startup Gradients'!N7:N10),"")</f>
        <v>0.81174962231103054</v>
      </c>
      <c r="H50" s="7">
        <f>IFERROR(CORREL('Startup Gradients'!B5:B7,'Startup Gradients'!N8:N10),"")</f>
        <v>0.94297390367519596</v>
      </c>
      <c r="I50" s="2" t="str">
        <f t="shared" si="1"/>
        <v>INSUFFICIENT</v>
      </c>
    </row>
    <row r="51" spans="1:9" x14ac:dyDescent="0.25">
      <c r="A51" s="2" t="s">
        <v>95</v>
      </c>
      <c r="B51" s="2" t="s">
        <v>54</v>
      </c>
      <c r="C51" s="2">
        <v>7</v>
      </c>
      <c r="D51" s="2">
        <v>6</v>
      </c>
      <c r="E51" s="7">
        <f>IFERROR(CORREL('Startup Gradients'!B5:B10,'Startup Gradients'!O5:O10),"")</f>
        <v>0.38236554227872632</v>
      </c>
      <c r="F51" s="7">
        <f>IFERROR(CORREL('Startup Gradients'!B5:B9,'Startup Gradients'!O6:O10),"")</f>
        <v>-0.78270527940081602</v>
      </c>
      <c r="G51" s="7">
        <f>IFERROR(CORREL('Startup Gradients'!B5:B8,'Startup Gradients'!O7:O10),"")</f>
        <v>-0.69689143389403696</v>
      </c>
      <c r="H51" s="7">
        <f>IFERROR(CORREL('Startup Gradients'!B5:B7,'Startup Gradients'!O8:O10),"")</f>
        <v>0.90490353837223159</v>
      </c>
      <c r="I51" s="2" t="str">
        <f t="shared" si="1"/>
        <v>INSUFFICIENT</v>
      </c>
    </row>
    <row r="52" spans="1:9" x14ac:dyDescent="0.25">
      <c r="A52" s="2" t="s">
        <v>95</v>
      </c>
      <c r="B52" s="2" t="s">
        <v>43</v>
      </c>
      <c r="C52" s="2">
        <v>7</v>
      </c>
      <c r="D52" s="2">
        <v>6</v>
      </c>
      <c r="E52" s="7">
        <f>IFERROR(CORREL('Startup Gradients'!B5:B10,'Startup Gradients'!P5:P10),"")</f>
        <v>-0.84464891613533954</v>
      </c>
      <c r="F52" s="7">
        <f>IFERROR(CORREL('Startup Gradients'!B5:B9,'Startup Gradients'!P6:P10),"")</f>
        <v>0.20342067114124204</v>
      </c>
      <c r="G52" s="7">
        <f>IFERROR(CORREL('Startup Gradients'!B5:B8,'Startup Gradients'!P7:P10),"")</f>
        <v>0.87538558936292576</v>
      </c>
      <c r="H52" s="7">
        <f>IFERROR(CORREL('Startup Gradients'!B5:B7,'Startup Gradients'!P8:P10),"")</f>
        <v>0.95556737652080115</v>
      </c>
      <c r="I52" s="2" t="str">
        <f t="shared" si="1"/>
        <v>INSUFFICIENT</v>
      </c>
    </row>
    <row r="53" spans="1:9" x14ac:dyDescent="0.25">
      <c r="A53" s="2" t="s">
        <v>95</v>
      </c>
      <c r="B53" s="2" t="s">
        <v>55</v>
      </c>
      <c r="C53" s="2">
        <v>7</v>
      </c>
      <c r="D53" s="2">
        <v>6</v>
      </c>
      <c r="E53" s="7">
        <f>IFERROR(CORREL('Startup Gradients'!B5:B10,'Startup Gradients'!Q5:Q10),"")</f>
        <v>-0.85819750940521311</v>
      </c>
      <c r="F53" s="7">
        <f>IFERROR(CORREL('Startup Gradients'!B5:B9,'Startup Gradients'!Q6:Q10),"")</f>
        <v>-0.16324238550429476</v>
      </c>
      <c r="G53" s="7">
        <f>IFERROR(CORREL('Startup Gradients'!B5:B8,'Startup Gradients'!Q7:Q10),"")</f>
        <v>0.11666583687430181</v>
      </c>
      <c r="H53" s="7">
        <f>IFERROR(CORREL('Startup Gradients'!B5:B7,'Startup Gradients'!Q8:Q10),"")</f>
        <v>-0.99983469712161566</v>
      </c>
      <c r="I53" s="2" t="str">
        <f t="shared" si="1"/>
        <v>INSUFFICIENT</v>
      </c>
    </row>
    <row r="54" spans="1:9" x14ac:dyDescent="0.25">
      <c r="A54" s="2" t="s">
        <v>95</v>
      </c>
      <c r="B54" s="2" t="s">
        <v>56</v>
      </c>
      <c r="C54" s="2">
        <v>7</v>
      </c>
      <c r="D54" s="2">
        <v>6</v>
      </c>
      <c r="E54" s="7">
        <f>IFERROR(CORREL('Startup Gradients'!B5:B10,'Startup Gradients'!R5:R10),"")</f>
        <v>0.91170571139949386</v>
      </c>
      <c r="F54" s="7">
        <f>IFERROR(CORREL('Startup Gradients'!B5:B9,'Startup Gradients'!R6:R10),"")</f>
        <v>-0.34636340982955793</v>
      </c>
      <c r="G54" s="7">
        <f>IFERROR(CORREL('Startup Gradients'!B5:B8,'Startup Gradients'!R7:R10),"")</f>
        <v>7.6443644885609979E-2</v>
      </c>
      <c r="H54" s="7">
        <f>IFERROR(CORREL('Startup Gradients'!B5:B7,'Startup Gradients'!R8:R10),"")</f>
        <v>0.56764595252051742</v>
      </c>
      <c r="I54" s="2" t="str">
        <f t="shared" si="1"/>
        <v>INSUFFICIENT</v>
      </c>
    </row>
    <row r="55" spans="1:9" x14ac:dyDescent="0.25">
      <c r="A55" s="2" t="s">
        <v>95</v>
      </c>
      <c r="B55" s="2" t="s">
        <v>76</v>
      </c>
      <c r="C55" s="2">
        <v>7</v>
      </c>
      <c r="D55" s="2">
        <v>6</v>
      </c>
      <c r="E55" s="7">
        <f>IFERROR(CORREL('Startup Gradients'!B5:B10,'Startup Gradients'!S5:S10),"")</f>
        <v>0.8930933162679251</v>
      </c>
      <c r="F55" s="7">
        <f>IFERROR(CORREL('Startup Gradients'!B5:B9,'Startup Gradients'!S6:S10),"")</f>
        <v>1.5799263023705083E-3</v>
      </c>
      <c r="G55" s="7">
        <f>IFERROR(CORREL('Startup Gradients'!B5:B8,'Startup Gradients'!S7:S10),"")</f>
        <v>-0.2856477694752862</v>
      </c>
      <c r="H55" s="7">
        <f>IFERROR(CORREL('Startup Gradients'!B5:B7,'Startup Gradients'!S8:S10),"")</f>
        <v>0.81487325040409231</v>
      </c>
      <c r="I55" s="2" t="str">
        <f t="shared" si="1"/>
        <v>INSUFFICIENT</v>
      </c>
    </row>
    <row r="56" spans="1:9" x14ac:dyDescent="0.25">
      <c r="A56" s="2" t="s">
        <v>95</v>
      </c>
      <c r="B56" s="2" t="s">
        <v>62</v>
      </c>
      <c r="C56" s="2">
        <v>7</v>
      </c>
      <c r="D56" s="2">
        <v>6</v>
      </c>
      <c r="E56" s="7">
        <f>IFERROR(CORREL('Startup Gradients'!B5:B10,'Startup Gradients'!T5:T10),"")</f>
        <v>0.98172148991722996</v>
      </c>
      <c r="F56" s="7">
        <f>IFERROR(CORREL('Startup Gradients'!B5:B9,'Startup Gradients'!T6:T10),"")</f>
        <v>0.4991692511643645</v>
      </c>
      <c r="G56" s="7">
        <f>IFERROR(CORREL('Startup Gradients'!B5:B8,'Startup Gradients'!T7:T10),"")</f>
        <v>0.89871789801158575</v>
      </c>
      <c r="H56" s="7">
        <f>IFERROR(CORREL('Startup Gradients'!B5:B7,'Startup Gradients'!T8:T10),"")</f>
        <v>0.72463354318096695</v>
      </c>
      <c r="I56" s="2" t="str">
        <f t="shared" si="1"/>
        <v>INSUFFICIENT</v>
      </c>
    </row>
    <row r="57" spans="1:9" x14ac:dyDescent="0.25">
      <c r="A57" s="2" t="s">
        <v>95</v>
      </c>
      <c r="B57" s="2" t="s">
        <v>63</v>
      </c>
      <c r="C57" s="2">
        <v>7</v>
      </c>
      <c r="D57" s="2">
        <v>6</v>
      </c>
      <c r="E57" s="7">
        <f>IFERROR(CORREL('Startup Gradients'!B5:B10,'Startup Gradients'!U5:U10),"")</f>
        <v>0.98768611223805469</v>
      </c>
      <c r="F57" s="7">
        <f>IFERROR(CORREL('Startup Gradients'!B5:B9,'Startup Gradients'!U6:U10),"")</f>
        <v>-0.16964752164604266</v>
      </c>
      <c r="G57" s="7">
        <f>IFERROR(CORREL('Startup Gradients'!B5:B8,'Startup Gradients'!U7:U10),"")</f>
        <v>0.91793873410383087</v>
      </c>
      <c r="H57" s="7">
        <f>IFERROR(CORREL('Startup Gradients'!B5:B7,'Startup Gradients'!U8:U10),"")</f>
        <v>0.8865815086229184</v>
      </c>
      <c r="I57" s="2" t="str">
        <f t="shared" si="1"/>
        <v>INSUFFICIENT</v>
      </c>
    </row>
    <row r="58" spans="1:9" x14ac:dyDescent="0.25">
      <c r="A58" s="2" t="s">
        <v>95</v>
      </c>
      <c r="B58" s="2" t="s">
        <v>64</v>
      </c>
      <c r="C58" s="2">
        <v>7</v>
      </c>
      <c r="D58" s="2">
        <v>6</v>
      </c>
      <c r="E58" s="7">
        <f>IFERROR(CORREL('Startup Gradients'!B5:B10,'Startup Gradients'!V5:V10),"")</f>
        <v>0.98533159307726337</v>
      </c>
      <c r="F58" s="7">
        <f>IFERROR(CORREL('Startup Gradients'!B5:B9,'Startup Gradients'!V6:V10),"")</f>
        <v>-0.13553249427947703</v>
      </c>
      <c r="G58" s="7">
        <f>IFERROR(CORREL('Startup Gradients'!B5:B8,'Startup Gradients'!V7:V10),"")</f>
        <v>0.85896863167297466</v>
      </c>
      <c r="H58" s="7">
        <f>IFERROR(CORREL('Startup Gradients'!B5:B7,'Startup Gradients'!V8:V10),"")</f>
        <v>0.79780141456957854</v>
      </c>
      <c r="I58" s="2" t="str">
        <f t="shared" si="1"/>
        <v>INSUFFICIENT</v>
      </c>
    </row>
    <row r="59" spans="1:9" x14ac:dyDescent="0.25">
      <c r="A59" s="2" t="s">
        <v>95</v>
      </c>
      <c r="B59" s="2" t="s">
        <v>60</v>
      </c>
      <c r="C59" s="2">
        <v>7</v>
      </c>
      <c r="D59" s="2">
        <v>6</v>
      </c>
      <c r="E59" s="7">
        <f>IFERROR(CORREL('Startup Gradients'!B5:B10,'Startup Gradients'!W5:W10),"")</f>
        <v>0.98445904884155566</v>
      </c>
      <c r="F59" s="7">
        <f>IFERROR(CORREL('Startup Gradients'!B5:B9,'Startup Gradients'!W6:W10),"")</f>
        <v>0.10875815896360277</v>
      </c>
      <c r="G59" s="7">
        <f>IFERROR(CORREL('Startup Gradients'!B5:B8,'Startup Gradients'!W7:W10),"")</f>
        <v>0.81153048839490394</v>
      </c>
      <c r="H59" s="7">
        <f>IFERROR(CORREL('Startup Gradients'!B5:B7,'Startup Gradients'!W8:W10),"")</f>
        <v>0.78531157696383447</v>
      </c>
      <c r="I59" s="2" t="str">
        <f t="shared" si="1"/>
        <v>INSUFFICIENT</v>
      </c>
    </row>
    <row r="60" spans="1:9" x14ac:dyDescent="0.25">
      <c r="A60" s="2" t="s">
        <v>95</v>
      </c>
      <c r="B60" s="2" t="s">
        <v>65</v>
      </c>
      <c r="C60" s="2">
        <v>7</v>
      </c>
      <c r="D60" s="2">
        <v>6</v>
      </c>
      <c r="E60" s="7">
        <f>IFERROR(CORREL('Startup Gradients'!B5:B10,'Startup Gradients'!X5:X10),"")</f>
        <v>0.98907530982552572</v>
      </c>
      <c r="F60" s="7">
        <f>IFERROR(CORREL('Startup Gradients'!B5:B9,'Startup Gradients'!X6:X10),"")</f>
        <v>-0.29013967028767268</v>
      </c>
      <c r="G60" s="7">
        <f>IFERROR(CORREL('Startup Gradients'!B5:B8,'Startup Gradients'!X7:X10),"")</f>
        <v>0.68494577944611745</v>
      </c>
      <c r="H60" s="7">
        <f>IFERROR(CORREL('Startup Gradients'!B5:B7,'Startup Gradients'!X8:X10),"")</f>
        <v>0.84812190673348886</v>
      </c>
      <c r="I60" s="2" t="str">
        <f t="shared" si="1"/>
        <v>INSUFFICIENT</v>
      </c>
    </row>
    <row r="61" spans="1:9" x14ac:dyDescent="0.25">
      <c r="A61" s="2" t="s">
        <v>95</v>
      </c>
      <c r="B61" s="2" t="s">
        <v>66</v>
      </c>
      <c r="C61" s="2">
        <v>7</v>
      </c>
      <c r="D61" s="2">
        <v>6</v>
      </c>
      <c r="E61" s="7">
        <f>IFERROR(CORREL('Startup Gradients'!B5:B10,'Startup Gradients'!Y5:Y10),"")</f>
        <v>0.99363771257401445</v>
      </c>
      <c r="F61" s="7">
        <f>IFERROR(CORREL('Startup Gradients'!B5:B9,'Startup Gradients'!Y6:Y10),"")</f>
        <v>5.4614144390202964E-2</v>
      </c>
      <c r="G61" s="7">
        <f>IFERROR(CORREL('Startup Gradients'!B5:B8,'Startup Gradients'!Y7:Y10),"")</f>
        <v>0.54458223611962742</v>
      </c>
      <c r="H61" s="7">
        <f>IFERROR(CORREL('Startup Gradients'!B5:B7,'Startup Gradients'!Y8:Y10),"")</f>
        <v>0.80354873561554574</v>
      </c>
      <c r="I61" s="2" t="str">
        <f t="shared" si="1"/>
        <v>INSUFFICIENT</v>
      </c>
    </row>
    <row r="62" spans="1:9" x14ac:dyDescent="0.25">
      <c r="A62" s="2" t="s">
        <v>95</v>
      </c>
      <c r="B62" s="2" t="s">
        <v>67</v>
      </c>
      <c r="C62" s="2">
        <v>7</v>
      </c>
      <c r="D62" s="2">
        <v>6</v>
      </c>
      <c r="E62" s="7">
        <f>IFERROR(CORREL('Startup Gradients'!B5:B10,'Startup Gradients'!Z5:Z10),"")</f>
        <v>-0.437669463107351</v>
      </c>
      <c r="F62" s="7">
        <f>IFERROR(CORREL('Startup Gradients'!B5:B9,'Startup Gradients'!Z6:Z10),"")</f>
        <v>0.96754530497341584</v>
      </c>
      <c r="G62" s="7">
        <f>IFERROR(CORREL('Startup Gradients'!B5:B8,'Startup Gradients'!Z7:Z10),"")</f>
        <v>0.86732180080635402</v>
      </c>
      <c r="H62" s="7">
        <f>IFERROR(CORREL('Startup Gradients'!B5:B7,'Startup Gradients'!Z8:Z10),"")</f>
        <v>0.75005020202307116</v>
      </c>
      <c r="I62" s="2" t="str">
        <f t="shared" si="1"/>
        <v>INSUFFICIENT</v>
      </c>
    </row>
    <row r="63" spans="1:9" x14ac:dyDescent="0.25">
      <c r="A63" s="2" t="s">
        <v>95</v>
      </c>
      <c r="B63" s="2" t="s">
        <v>68</v>
      </c>
      <c r="C63" s="2">
        <v>7</v>
      </c>
      <c r="D63" s="2">
        <v>6</v>
      </c>
      <c r="E63" s="7">
        <f>IFERROR(CORREL('Startup Gradients'!B5:B10,'Startup Gradients'!AA5:AA10),"")</f>
        <v>0.23692692648654151</v>
      </c>
      <c r="F63" s="7">
        <f>IFERROR(CORREL('Startup Gradients'!B5:B9,'Startup Gradients'!AA6:AA10),"")</f>
        <v>-0.39812171301361454</v>
      </c>
      <c r="G63" s="7">
        <f>IFERROR(CORREL('Startup Gradients'!B5:B8,'Startup Gradients'!AA7:AA10),"")</f>
        <v>-0.82060484955331114</v>
      </c>
      <c r="H63" s="7">
        <f>IFERROR(CORREL('Startup Gradients'!B5:B7,'Startup Gradients'!AA8:AA10),"")</f>
        <v>-0.98307268842834139</v>
      </c>
      <c r="I63" s="2" t="str">
        <f t="shared" si="1"/>
        <v>INSUFFICIENT</v>
      </c>
    </row>
    <row r="64" spans="1:9" x14ac:dyDescent="0.25">
      <c r="A64" s="2" t="s">
        <v>95</v>
      </c>
      <c r="B64" s="2" t="s">
        <v>77</v>
      </c>
      <c r="C64" s="2">
        <v>7</v>
      </c>
      <c r="D64" s="2">
        <v>6</v>
      </c>
      <c r="E64" s="7">
        <f>IFERROR(CORREL('Startup Gradients'!B5:B10,'Startup Gradients'!AB5:AB10),"")</f>
        <v>-0.14766783173097889</v>
      </c>
      <c r="F64" s="7">
        <f>IFERROR(CORREL('Startup Gradients'!B5:B9,'Startup Gradients'!AB6:AB10),"")</f>
        <v>0.96739534769489954</v>
      </c>
      <c r="G64" s="7">
        <f>IFERROR(CORREL('Startup Gradients'!B5:B8,'Startup Gradients'!AB7:AB10),"")</f>
        <v>0.21225725556672004</v>
      </c>
      <c r="H64" s="7">
        <f>IFERROR(CORREL('Startup Gradients'!B5:B7,'Startup Gradients'!AB8:AB10),"")</f>
        <v>0.9809219400993483</v>
      </c>
      <c r="I64" s="2" t="str">
        <f t="shared" si="1"/>
        <v>INSUFFICIENT</v>
      </c>
    </row>
    <row r="65" spans="1:9" x14ac:dyDescent="0.25">
      <c r="A65" s="2" t="s">
        <v>95</v>
      </c>
      <c r="B65" s="2" t="s">
        <v>40</v>
      </c>
      <c r="C65" s="2">
        <v>7</v>
      </c>
      <c r="D65" s="2">
        <v>6</v>
      </c>
      <c r="E65" s="7">
        <f>IFERROR(CORREL('Startup Gradients'!B5:B10,'Startup Gradients'!AC5:AC10),"")</f>
        <v>-0.34972291411746903</v>
      </c>
      <c r="F65" s="7">
        <f>IFERROR(CORREL('Startup Gradients'!B5:B9,'Startup Gradients'!AC6:AC10),"")</f>
        <v>0.92216356052517756</v>
      </c>
      <c r="G65" s="7">
        <f>IFERROR(CORREL('Startup Gradients'!B5:B8,'Startup Gradients'!AC7:AC10),"")</f>
        <v>0.83669050821221558</v>
      </c>
      <c r="H65" s="7">
        <f>IFERROR(CORREL('Startup Gradients'!B5:B7,'Startup Gradients'!AC8:AC10),"")</f>
        <v>0.96714425283850636</v>
      </c>
      <c r="I65" s="2" t="str">
        <f t="shared" si="1"/>
        <v>INSUFFICIENT</v>
      </c>
    </row>
    <row r="66" spans="1:9" x14ac:dyDescent="0.25">
      <c r="A66" s="2" t="s">
        <v>95</v>
      </c>
      <c r="B66" s="2" t="s">
        <v>78</v>
      </c>
      <c r="C66" s="2">
        <v>7</v>
      </c>
      <c r="D66" s="2">
        <v>6</v>
      </c>
      <c r="E66" s="7">
        <f>IFERROR(CORREL('Startup Gradients'!B5:B10,'Startup Gradients'!AD5:AD10),"")</f>
        <v>0.90239891763747837</v>
      </c>
      <c r="F66" s="7">
        <f>IFERROR(CORREL('Startup Gradients'!B5:B9,'Startup Gradients'!AD6:AD10),"")</f>
        <v>0.37889433998827987</v>
      </c>
      <c r="G66" s="7">
        <f>IFERROR(CORREL('Startup Gradients'!B5:B8,'Startup Gradients'!AD7:AD10),"")</f>
        <v>-0.45598226435300676</v>
      </c>
      <c r="H66" s="7">
        <f>IFERROR(CORREL('Startup Gradients'!B5:B7,'Startup Gradients'!AD8:AD10),"")</f>
        <v>0.24108423625471059</v>
      </c>
      <c r="I66" s="2" t="str">
        <f t="shared" si="1"/>
        <v>INSUFFICIENT</v>
      </c>
    </row>
    <row r="67" spans="1:9" x14ac:dyDescent="0.25">
      <c r="A67" s="2" t="s">
        <v>95</v>
      </c>
      <c r="B67" s="2" t="s">
        <v>41</v>
      </c>
      <c r="C67" s="2">
        <v>7</v>
      </c>
      <c r="D67" s="2">
        <v>6</v>
      </c>
      <c r="E67" s="7">
        <f>IFERROR(CORREL('Startup Gradients'!B5:B10,'Startup Gradients'!AE5:AE10),"")</f>
        <v>-0.27857708675325205</v>
      </c>
      <c r="F67" s="7">
        <f>IFERROR(CORREL('Startup Gradients'!B5:B9,'Startup Gradients'!AE6:AE10),"")</f>
        <v>0.45183735646540713</v>
      </c>
      <c r="G67" s="7">
        <f>IFERROR(CORREL('Startup Gradients'!B5:B8,'Startup Gradients'!AE7:AE10),"")</f>
        <v>0.88563995080462987</v>
      </c>
      <c r="H67" s="7">
        <f>IFERROR(CORREL('Startup Gradients'!B5:B7,'Startup Gradients'!AE8:AE10),"")</f>
        <v>0.87443296636143175</v>
      </c>
      <c r="I67" s="2" t="str">
        <f t="shared" si="1"/>
        <v>INSUFFICIENT</v>
      </c>
    </row>
    <row r="68" spans="1:9" x14ac:dyDescent="0.25">
      <c r="A68" s="2" t="s">
        <v>95</v>
      </c>
      <c r="B68" s="2" t="s">
        <v>45</v>
      </c>
      <c r="C68" s="2">
        <v>7</v>
      </c>
      <c r="D68" s="2">
        <v>6</v>
      </c>
      <c r="E68" s="7">
        <f>IFERROR(CORREL('Startup Gradients'!B5:B10,'Startup Gradients'!AF5:AF10),"")</f>
        <v>-0.31822700212741167</v>
      </c>
      <c r="F68" s="7">
        <f>IFERROR(CORREL('Startup Gradients'!B5:B9,'Startup Gradients'!AF6:AF10),"")</f>
        <v>2.8084970995463147E-2</v>
      </c>
      <c r="G68" s="7">
        <f>IFERROR(CORREL('Startup Gradients'!B5:B8,'Startup Gradients'!AF7:AF10),"")</f>
        <v>0.9684096165818501</v>
      </c>
      <c r="H68" s="7">
        <f>IFERROR(CORREL('Startup Gradients'!B5:B7,'Startup Gradients'!AF8:AF10),"")</f>
        <v>0.86894487502353668</v>
      </c>
      <c r="I68" s="2" t="str">
        <f t="shared" si="1"/>
        <v>INSUFFICIENT</v>
      </c>
    </row>
    <row r="69" spans="1:9" x14ac:dyDescent="0.25">
      <c r="A69" s="2" t="s">
        <v>95</v>
      </c>
      <c r="B69" s="2" t="s">
        <v>71</v>
      </c>
      <c r="C69" s="2">
        <v>7</v>
      </c>
      <c r="D69" s="2">
        <v>6</v>
      </c>
      <c r="E69" s="7">
        <f>IFERROR(CORREL('Startup Gradients'!B5:B10,'Startup Gradients'!AG5:AG10),"")</f>
        <v>-0.59953562682739847</v>
      </c>
      <c r="F69" s="7">
        <f>IFERROR(CORREL('Startup Gradients'!B5:B9,'Startup Gradients'!AG6:AG10),"")</f>
        <v>0.44892966137353518</v>
      </c>
      <c r="G69" s="7">
        <f>IFERROR(CORREL('Startup Gradients'!B5:B8,'Startup Gradients'!AG7:AG10),"")</f>
        <v>0.85613439406243741</v>
      </c>
      <c r="H69" s="7">
        <f>IFERROR(CORREL('Startup Gradients'!B5:B7,'Startup Gradients'!AG8:AG10),"")</f>
        <v>-0.59274080572553378</v>
      </c>
      <c r="I69" s="2" t="str">
        <f t="shared" ref="I69:I100" si="2">IF(OR(D69&lt;7,COUNT(E69:H69)&lt;4),"INSUFFICIENT",IF(ABS(E69)&gt;=MAX(ABS(F69),ABS(G69),ABS(H69)),"0 h bin","ambiguous"))</f>
        <v>INSUFFICIENT</v>
      </c>
    </row>
    <row r="70" spans="1:9" x14ac:dyDescent="0.25">
      <c r="A70" s="2" t="s">
        <v>95</v>
      </c>
      <c r="B70" s="2" t="s">
        <v>79</v>
      </c>
      <c r="C70" s="2">
        <v>7</v>
      </c>
      <c r="D70" s="2">
        <v>6</v>
      </c>
      <c r="E70" s="7">
        <f>IFERROR(CORREL('Startup Gradients'!B5:B10,'Startup Gradients'!AH5:AH10),"")</f>
        <v>0.25239567804719493</v>
      </c>
      <c r="F70" s="7">
        <f>IFERROR(CORREL('Startup Gradients'!B5:B9,'Startup Gradients'!AH6:AH10),"")</f>
        <v>-0.97402901540129372</v>
      </c>
      <c r="G70" s="7" t="str">
        <f>IFERROR(CORREL('Startup Gradients'!B5:B8,'Startup Gradients'!AH7:AH10),"")</f>
        <v/>
      </c>
      <c r="H70" s="7" t="str">
        <f>IFERROR(CORREL('Startup Gradients'!B5:B7,'Startup Gradients'!AH8:AH10),"")</f>
        <v/>
      </c>
      <c r="I70" s="2" t="str">
        <f t="shared" si="2"/>
        <v>INSUFFICIENT</v>
      </c>
    </row>
    <row r="71" spans="1:9" x14ac:dyDescent="0.25">
      <c r="A71" s="2" t="s">
        <v>95</v>
      </c>
      <c r="B71" s="2" t="s">
        <v>80</v>
      </c>
      <c r="C71" s="2">
        <v>7</v>
      </c>
      <c r="D71" s="2">
        <v>6</v>
      </c>
      <c r="E71" s="7">
        <f>IFERROR(CORREL('Startup Gradients'!B5:B10,'Startup Gradients'!AI5:AI10),"")</f>
        <v>0.23360484471072193</v>
      </c>
      <c r="F71" s="7">
        <f>IFERROR(CORREL('Startup Gradients'!B5:B9,'Startup Gradients'!AI6:AI10),"")</f>
        <v>7.0222052680973826E-2</v>
      </c>
      <c r="G71" s="7">
        <f>IFERROR(CORREL('Startup Gradients'!B5:B8,'Startup Gradients'!AI7:AI10),"")</f>
        <v>0.73262269006930281</v>
      </c>
      <c r="H71" s="7">
        <f>IFERROR(CORREL('Startup Gradients'!B5:B7,'Startup Gradients'!AI8:AI10),"")</f>
        <v>0.54170176002387183</v>
      </c>
      <c r="I71" s="2" t="str">
        <f t="shared" si="2"/>
        <v>INSUFFICIENT</v>
      </c>
    </row>
    <row r="72" spans="1:9" x14ac:dyDescent="0.25">
      <c r="A72" s="2" t="s">
        <v>95</v>
      </c>
      <c r="B72" s="2" t="s">
        <v>81</v>
      </c>
      <c r="C72" s="2">
        <v>7</v>
      </c>
      <c r="D72" s="2">
        <v>6</v>
      </c>
      <c r="E72" s="7">
        <f>IFERROR(CORREL('Startup Gradients'!B5:B10,'Startup Gradients'!AJ5:AJ10),"")</f>
        <v>0.13903934832499806</v>
      </c>
      <c r="F72" s="7">
        <f>IFERROR(CORREL('Startup Gradients'!B5:B9,'Startup Gradients'!AJ6:AJ10),"")</f>
        <v>-0.70681925327362416</v>
      </c>
      <c r="G72" s="7">
        <f>IFERROR(CORREL('Startup Gradients'!B5:B8,'Startup Gradients'!AJ7:AJ10),"")</f>
        <v>0.97426098140123263</v>
      </c>
      <c r="H72" s="7">
        <f>IFERROR(CORREL('Startup Gradients'!B5:B7,'Startup Gradients'!AJ8:AJ10),"")</f>
        <v>-0.65020602294865626</v>
      </c>
      <c r="I72" s="2" t="str">
        <f t="shared" si="2"/>
        <v>INSUFFICIENT</v>
      </c>
    </row>
  </sheetData>
  <autoFilter ref="A4:I72" xr:uid="{00000000-0009-0000-0000-000005000000}"/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2" customWidth="1"/>
    <col min="2" max="2" width="10" customWidth="1"/>
    <col min="3" max="3" width="13" customWidth="1"/>
    <col min="4" max="5" width="20" customWidth="1"/>
    <col min="6" max="6" width="24" customWidth="1"/>
    <col min="7" max="7" width="21" customWidth="1"/>
    <col min="8" max="8" width="15" customWidth="1"/>
    <col min="9" max="9" width="26" customWidth="1"/>
  </cols>
  <sheetData>
    <row r="1" spans="1:9" ht="23.1" customHeight="1" x14ac:dyDescent="0.25">
      <c r="A1" s="9" t="s">
        <v>96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0" t="s">
        <v>97</v>
      </c>
      <c r="B2" s="10"/>
      <c r="C2" s="10"/>
      <c r="D2" s="10"/>
      <c r="E2" s="10"/>
      <c r="F2" s="10"/>
      <c r="G2" s="10"/>
      <c r="H2" s="10"/>
      <c r="I2" s="10"/>
    </row>
    <row r="4" spans="1:9" x14ac:dyDescent="0.25">
      <c r="A4" s="1" t="s">
        <v>98</v>
      </c>
      <c r="B4" s="1" t="s">
        <v>99</v>
      </c>
      <c r="C4" s="1" t="s">
        <v>100</v>
      </c>
      <c r="D4" s="1" t="s">
        <v>101</v>
      </c>
      <c r="E4" s="1" t="s">
        <v>102</v>
      </c>
      <c r="F4" s="1" t="s">
        <v>103</v>
      </c>
      <c r="G4" s="1" t="s">
        <v>104</v>
      </c>
      <c r="H4" s="1" t="s">
        <v>105</v>
      </c>
      <c r="I4" s="1" t="s">
        <v>106</v>
      </c>
    </row>
    <row r="5" spans="1:9" x14ac:dyDescent="0.25">
      <c r="A5" s="2" t="s">
        <v>107</v>
      </c>
      <c r="B5" s="2" t="s">
        <v>108</v>
      </c>
      <c r="C5" s="2" t="s">
        <v>109</v>
      </c>
      <c r="D5" s="8">
        <v>130482</v>
      </c>
      <c r="E5" s="8">
        <v>20</v>
      </c>
      <c r="F5" s="8">
        <f>D5*E5/3600</f>
        <v>724.9</v>
      </c>
      <c r="G5" s="8">
        <v>1800</v>
      </c>
      <c r="H5" s="8">
        <v>3600</v>
      </c>
      <c r="I5" s="2" t="str">
        <f>IF(E5&lt;H5,"PASS","FAIL")</f>
        <v>PASS</v>
      </c>
    </row>
    <row r="6" spans="1:9" x14ac:dyDescent="0.25">
      <c r="A6" s="2" t="s">
        <v>110</v>
      </c>
      <c r="B6" s="2" t="s">
        <v>109</v>
      </c>
      <c r="C6" s="2" t="s">
        <v>111</v>
      </c>
      <c r="D6" s="8">
        <v>105918.8249529032</v>
      </c>
      <c r="E6" s="8">
        <v>20</v>
      </c>
      <c r="F6" s="8">
        <f>D6*E6/3600</f>
        <v>588.43791640501775</v>
      </c>
      <c r="G6" s="8">
        <v>1800</v>
      </c>
      <c r="H6" s="8">
        <v>3600</v>
      </c>
      <c r="I6" s="2" t="str">
        <f>IF(E6&lt;H6,"PASS","FAIL")</f>
        <v>PASS</v>
      </c>
    </row>
    <row r="7" spans="1:9" x14ac:dyDescent="0.25">
      <c r="A7" s="2" t="s">
        <v>112</v>
      </c>
      <c r="B7" s="2" t="s">
        <v>111</v>
      </c>
      <c r="C7" s="2" t="s">
        <v>113</v>
      </c>
      <c r="D7" s="8">
        <v>101492.2174572299</v>
      </c>
      <c r="E7" s="8">
        <v>20</v>
      </c>
      <c r="F7" s="8">
        <f>D7*E7/3600</f>
        <v>563.84565254016616</v>
      </c>
      <c r="G7" s="8">
        <v>1800</v>
      </c>
      <c r="H7" s="8">
        <v>3600</v>
      </c>
      <c r="I7" s="2" t="str">
        <f>IF(E7&lt;H7,"PASS","FAIL")</f>
        <v>PASS</v>
      </c>
    </row>
    <row r="8" spans="1:9" x14ac:dyDescent="0.25">
      <c r="A8" s="2" t="s">
        <v>114</v>
      </c>
      <c r="B8" s="2" t="s">
        <v>113</v>
      </c>
      <c r="C8" s="2" t="s">
        <v>115</v>
      </c>
      <c r="D8" s="8">
        <v>92748.918227627088</v>
      </c>
      <c r="E8" s="8">
        <v>20</v>
      </c>
      <c r="F8" s="8">
        <f>D8*E8/3600</f>
        <v>515.27176793126159</v>
      </c>
      <c r="G8" s="8">
        <v>1800</v>
      </c>
      <c r="H8" s="8">
        <v>3600</v>
      </c>
      <c r="I8" s="2" t="str">
        <f>IF(E8&lt;H8,"PASS","FAIL")</f>
        <v>PASS</v>
      </c>
    </row>
    <row r="9" spans="1:9" x14ac:dyDescent="0.25">
      <c r="A9" s="2" t="s">
        <v>116</v>
      </c>
      <c r="B9" s="2" t="s">
        <v>115</v>
      </c>
      <c r="C9" s="2" t="s">
        <v>117</v>
      </c>
      <c r="D9" s="8">
        <v>92748.918227627088</v>
      </c>
      <c r="E9" s="8">
        <v>20</v>
      </c>
      <c r="F9" s="8">
        <f>D9*E9/3600</f>
        <v>515.27176793126159</v>
      </c>
      <c r="G9" s="8">
        <v>1800</v>
      </c>
      <c r="H9" s="8">
        <v>3600</v>
      </c>
      <c r="I9" s="2" t="str">
        <f>IF(E9&lt;H9,"PASS","FAIL")</f>
        <v>PASS</v>
      </c>
    </row>
  </sheetData>
  <autoFilter ref="A4:I9" xr:uid="{00000000-0009-0000-0000-000006000000}"/>
  <mergeCells count="2">
    <mergeCell ref="A1:I1"/>
    <mergeCell ref="A2:I2"/>
  </mergeCells>
  <conditionalFormatting sqref="I5:I9">
    <cfRule type="cellIs" dxfId="0" priority="1" operator="equal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Normal Anchors</vt:lpstr>
      <vt:lpstr>Normal Gradients</vt:lpstr>
      <vt:lpstr>Startup Anchors</vt:lpstr>
      <vt:lpstr>Startup Gradients</vt:lpstr>
      <vt:lpstr>Lag Estimates</vt:lpstr>
      <vt:lpstr>Route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El-Gohary</cp:lastModifiedBy>
  <dcterms:created xsi:type="dcterms:W3CDTF">2026-08-14T06:22:20Z</dcterms:created>
  <dcterms:modified xsi:type="dcterms:W3CDTF">2026-08-14T06:26:39Z</dcterms:modified>
</cp:coreProperties>
</file>